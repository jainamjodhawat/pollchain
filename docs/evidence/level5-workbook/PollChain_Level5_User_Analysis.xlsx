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68176f7d6245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vate Intake" sheetId="1" r:id="Raa557d0009964e4c"/>
    <x:sheet xmlns:r="http://schemas.openxmlformats.org/officeDocument/2006/relationships" name="Public Evidence" sheetId="2" r:id="Rca7f61b1699d47cf"/>
    <x:sheet xmlns:r="http://schemas.openxmlformats.org/officeDocument/2006/relationships" name="Dashboard" sheetId="3" r:id="Rd33fe1b487194f85"/>
    <x:sheet xmlns:r="http://schemas.openxmlformats.org/officeDocument/2006/relationships" name="Instructions" sheetId="4" r:id="Ra9784d9a331145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:ss"/>
    <x:numFmt numFmtId="201" formatCode="0.00"/>
    <x:numFmt numFmtId="202" formatCode="0%"/>
    <x:numFmt numFmtId="203" formatCode="0.0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5A6A2E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b/>
      <x:sz val="26"/>
      <x:color rgb="FF344018"/>
      <x:name val="Carlito"/>
    </x:font>
    <x:font>
      <x:b/>
      <x:sz val="16"/>
      <x:color rgb="FF344018"/>
      <x:name val="Carlito"/>
    </x:font>
    <x:font>
      <x:b/>
      <x:sz val="2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44018"/>
      </x:patternFill>
    </x:fill>
    <x:fill>
      <x:patternFill patternType="solid">
        <x:fgColor rgb="FFF7F4E8"/>
      </x:patternFill>
    </x:fill>
    <x:fill>
      <x:patternFill patternType="solid">
        <x:fgColor rgb="FF5A6A2E"/>
      </x:patternFill>
    </x:fill>
    <x:fill>
      <x:patternFill patternType="solid">
        <x:fgColor rgb="FFD7ED74"/>
      </x:patternFill>
    </x:fill>
  </x:fills>
  <x:borders count="13">
    <x:border/>
    <x:border>
      <x:left style="thin">
        <x:color rgb="FF344018"/>
      </x:left>
      <x:top style="thin">
        <x:color rgb="FF344018"/>
      </x:top>
      <x:bottom style="thin">
        <x:color rgb="FF344018"/>
      </x:bottom>
    </x:border>
    <x:border>
      <x:top style="thin">
        <x:color rgb="FF344018"/>
      </x:top>
      <x:bottom style="thin">
        <x:color rgb="FF344018"/>
      </x:bottom>
    </x:border>
    <x:border>
      <x:right style="thin">
        <x:color rgb="FF344018"/>
      </x:right>
      <x:top style="thin">
        <x:color rgb="FF344018"/>
      </x:top>
      <x:bottom style="thin">
        <x:color rgb="FF344018"/>
      </x:bottom>
    </x:border>
    <x:border>
      <x:bottom style="thin">
        <x:color rgb="FFCCD1B7"/>
      </x:bottom>
    </x:border>
    <x:border>
      <x:top style="thin">
        <x:color rgb="FFCCD1B7"/>
      </x:top>
      <x:bottom style="thin">
        <x:color rgb="FFCCD1B7"/>
      </x:bottom>
    </x:border>
    <x:border>
      <x:top style="thin">
        <x:color rgb="FFCCD1B7"/>
      </x:top>
    </x:border>
    <x:border>
      <x:left style="thin">
        <x:color rgb="FFCCD1B7"/>
      </x:left>
      <x:top style="thin">
        <x:color rgb="FFCCD1B7"/>
      </x:top>
    </x:border>
    <x:border>
      <x:right style="thin">
        <x:color rgb="FFCCD1B7"/>
      </x:right>
      <x:top style="thin">
        <x:color rgb="FFCCD1B7"/>
      </x:top>
    </x:border>
    <x:border>
      <x:left style="thin">
        <x:color rgb="FFCCD1B7"/>
      </x:left>
    </x:border>
    <x:border>
      <x:right style="thin">
        <x:color rgb="FFCCD1B7"/>
      </x:right>
    </x:border>
    <x:border>
      <x:left style="thin">
        <x:color rgb="FFCCD1B7"/>
      </x:left>
      <x:bottom style="thin">
        <x:color rgb="FFCCD1B7"/>
      </x:bottom>
    </x:border>
    <x:border>
      <x:right style="thin">
        <x:color rgb="FFCCD1B7"/>
      </x:right>
      <x:bottom style="thin">
        <x:color rgb="FFCCD1B7"/>
      </x:bottom>
    </x:border>
  </x:borders>
  <x:cellStyleXfs count="1">
    <x:xf numFmtId="0" fontId="0" fillId="0" borderId="0"/>
  </x:cellStyleXfs>
  <x:cellXfs count="89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200" fontId="0" fillId="0" borderId="4" xfId="0" applyNumberFormat="1" applyFont="1" applyFill="1" applyBorder="1"/>
    <x:xf numFmtId="201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5" xfId="0" applyNumberFormat="1" applyFont="1" applyFill="1" applyBorder="1"/>
    <x:xf numFmtId="201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6" xfId="0" applyNumberFormat="1" applyFont="1" applyFill="1" applyBorder="1"/>
    <x:xf numFmtId="201" fontId="0" fillId="0" borderId="6" xfId="0" applyNumberFormat="1" applyFont="1" applyFill="1" applyBorder="1"/>
    <x:xf numFmtId="0" fontId="0" fillId="3" borderId="4" xfId="0" applyNumberFormat="1" applyFont="1" applyFill="1" applyBorder="1"/>
    <x:xf numFmtId="201" fontId="0" fillId="3" borderId="4" xfId="0" applyNumberFormat="1" applyFont="1" applyFill="1" applyBorder="1"/>
    <x:xf numFmtId="0" fontId="0" fillId="3" borderId="5" xfId="0" applyNumberFormat="1" applyFont="1" applyFill="1" applyBorder="1"/>
    <x:xf numFmtId="201" fontId="0" fillId="3" borderId="5" xfId="0" applyNumberFormat="1" applyFont="1" applyFill="1" applyBorder="1"/>
    <x:xf numFmtId="0" fontId="0" fillId="3" borderId="6" xfId="0" applyNumberFormat="1" applyFont="1" applyFill="1" applyBorder="1"/>
    <x:xf numFmtId="201" fontId="0" fillId="3" borderId="6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/>
    <x:xf numFmtId="0" fontId="5" fillId="3" borderId="7" xfId="0" applyNumberFormat="1" applyFont="1" applyFill="1" applyBorder="1"/>
    <x:xf numFmtId="0" fontId="5" fillId="3" borderId="6" xfId="0" applyNumberFormat="1" applyFont="1" applyFill="1" applyBorder="1"/>
    <x:xf numFmtId="0" fontId="5" fillId="3" borderId="8" xfId="0" applyNumberFormat="1" applyFont="1" applyFill="1" applyBorder="1"/>
    <x:xf numFmtId="0" fontId="5" fillId="3" borderId="9" xfId="0" applyNumberFormat="1" applyFont="1" applyFill="1" applyBorder="1"/>
    <x:xf numFmtId="0" fontId="5" fillId="3" borderId="10" xfId="0" applyNumberFormat="1" applyFont="1" applyFill="1" applyBorder="1"/>
    <x:xf numFmtId="0" fontId="5" fillId="3" borderId="11" xfId="0" applyNumberFormat="1" applyFont="1" applyFill="1" applyBorder="1"/>
    <x:xf numFmtId="0" fontId="5" fillId="3" borderId="4" xfId="0" applyNumberFormat="1" applyFont="1" applyFill="1" applyBorder="1"/>
    <x:xf numFmtId="0" fontId="5" fillId="3" borderId="12" xfId="0" applyNumberFormat="1" applyFont="1" applyFill="1" applyBorder="1"/>
    <x:xf numFmtId="0" fontId="5" fillId="3" borderId="7" xfId="0" applyNumberFormat="1" applyFont="1" applyFill="1" applyBorder="1" applyAlignment="1">
      <x:alignment horizontal="center"/>
    </x:xf>
    <x:xf numFmtId="0" fontId="5" fillId="3" borderId="6" xfId="0" applyNumberFormat="1" applyFont="1" applyFill="1" applyBorder="1" applyAlignment="1">
      <x:alignment horizontal="center"/>
    </x:xf>
    <x:xf numFmtId="0" fontId="5" fillId="3" borderId="8" xfId="0" applyNumberFormat="1" applyFont="1" applyFill="1" applyBorder="1" applyAlignment="1">
      <x:alignment horizontal="center"/>
    </x:xf>
    <x:xf numFmtId="0" fontId="5" fillId="3" borderId="9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/>
    </x:xf>
    <x:xf numFmtId="0" fontId="5" fillId="3" borderId="10" xfId="0" applyNumberFormat="1" applyFont="1" applyFill="1" applyBorder="1" applyAlignment="1">
      <x:alignment horizontal="center"/>
    </x:xf>
    <x:xf numFmtId="0" fontId="5" fillId="3" borderId="11" xfId="0" applyNumberFormat="1" applyFont="1" applyFill="1" applyBorder="1" applyAlignment="1">
      <x:alignment horizontal="center"/>
    </x:xf>
    <x:xf numFmtId="0" fontId="5" fillId="3" borderId="4" xfId="0" applyNumberFormat="1" applyFont="1" applyFill="1" applyBorder="1" applyAlignment="1">
      <x:alignment horizontal="center"/>
    </x:xf>
    <x:xf numFmtId="0" fontId="5" fillId="3" borderId="12" xfId="0" applyNumberFormat="1" applyFont="1" applyFill="1" applyBorder="1" applyAlignment="1">
      <x:alignment horizontal="center"/>
    </x:xf>
    <x:xf numFmtId="0" fontId="5" fillId="3" borderId="7" xfId="0" applyNumberFormat="1" applyFont="1" applyFill="1" applyBorder="1" applyAlignment="1">
      <x:alignment horizontal="center" vertical="center"/>
    </x:xf>
    <x:xf numFmtId="0" fontId="5" fillId="3" borderId="6" xfId="0" applyNumberFormat="1" applyFont="1" applyFill="1" applyBorder="1" applyAlignment="1">
      <x:alignment horizontal="center" vertical="center"/>
    </x:xf>
    <x:xf numFmtId="0" fontId="5" fillId="3" borderId="8" xfId="0" applyNumberFormat="1" applyFont="1" applyFill="1" applyBorder="1" applyAlignment="1">
      <x:alignment horizontal="center" vertical="center"/>
    </x:xf>
    <x:xf numFmtId="0" fontId="5" fillId="3" borderId="9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10" xfId="0" applyNumberFormat="1" applyFont="1" applyFill="1" applyBorder="1" applyAlignment="1">
      <x:alignment horizontal="center" vertical="center"/>
    </x:xf>
    <x:xf numFmtId="0" fontId="5" fillId="3" borderId="11" xfId="0" applyNumberFormat="1" applyFont="1" applyFill="1" applyBorder="1" applyAlignment="1">
      <x:alignment horizontal="center" vertical="center"/>
    </x:xf>
    <x:xf numFmtId="0" fontId="5" fillId="3" borderId="4" xfId="0" applyNumberFormat="1" applyFont="1" applyFill="1" applyBorder="1" applyAlignment="1">
      <x:alignment horizontal="center" vertical="center"/>
    </x:xf>
    <x:xf numFmtId="0" fontId="5" fillId="3" borderId="12" xfId="0" applyNumberFormat="1" applyFont="1" applyFill="1" applyBorder="1" applyAlignment="1">
      <x:alignment horizontal="center" vertical="center"/>
    </x:xf>
    <x:xf numFmtId="202" fontId="5" fillId="3" borderId="6" xfId="0" applyNumberFormat="1" applyFont="1" applyFill="1" applyBorder="1" applyAlignment="1">
      <x:alignment horizontal="center" vertical="center"/>
    </x:xf>
    <x:xf numFmtId="202" fontId="5" fillId="3" borderId="8" xfId="0" applyNumberFormat="1" applyFont="1" applyFill="1" applyBorder="1" applyAlignment="1">
      <x:alignment horizontal="center" vertical="center"/>
    </x:xf>
    <x:xf numFmtId="202" fontId="5" fillId="3" borderId="0" xfId="0" applyNumberFormat="1" applyFont="1" applyFill="1" applyBorder="1" applyAlignment="1">
      <x:alignment horizontal="center" vertical="center"/>
    </x:xf>
    <x:xf numFmtId="202" fontId="5" fillId="3" borderId="10" xfId="0" applyNumberFormat="1" applyFont="1" applyFill="1" applyBorder="1" applyAlignment="1">
      <x:alignment horizontal="center" vertical="center"/>
    </x:xf>
    <x:xf numFmtId="202" fontId="5" fillId="3" borderId="4" xfId="0" applyNumberFormat="1" applyFont="1" applyFill="1" applyBorder="1" applyAlignment="1">
      <x:alignment horizontal="center" vertical="center"/>
    </x:xf>
    <x:xf numFmtId="202" fontId="5" fillId="3" borderId="12" xfId="0" applyNumberFormat="1" applyFont="1" applyFill="1" applyBorder="1" applyAlignment="1">
      <x:alignment horizontal="center" vertical="center"/>
    </x:xf>
    <x:xf numFmtId="203" fontId="5" fillId="3" borderId="6" xfId="0" applyNumberFormat="1" applyFont="1" applyFill="1" applyBorder="1" applyAlignment="1">
      <x:alignment horizontal="center" vertical="center"/>
    </x:xf>
    <x:xf numFmtId="203" fontId="5" fillId="3" borderId="0" xfId="0" applyNumberFormat="1" applyFont="1" applyFill="1" applyBorder="1" applyAlignment="1">
      <x:alignment horizontal="center" vertical="center"/>
    </x:xf>
    <x:xf numFmtId="203" fontId="5" fillId="3" borderId="4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/>
    <x:xf numFmtId="0" fontId="0" fillId="3" borderId="4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0" fillId="3" borderId="6" xfId="0" applyNumberFormat="1" applyFont="1" applyFill="1" applyBorder="1" applyAlignment="1">
      <x:alignment wrapText="1"/>
    </x:xf>
    <x:xf numFmtId="0" fontId="0" fillId="3" borderId="4" xfId="0" applyNumberFormat="1" applyFont="1" applyFill="1" applyBorder="1" applyAlignment="1">
      <x:alignment vertical="center" wrapText="1"/>
    </x:xf>
    <x:xf numFmtId="0" fontId="0" fillId="3" borderId="5" xfId="0" applyNumberFormat="1" applyFont="1" applyFill="1" applyBorder="1" applyAlignment="1">
      <x:alignment vertical="center" wrapText="1"/>
    </x:xf>
    <x:xf numFmtId="0" fontId="0" fillId="3" borderId="6" xfId="0" applyNumberFormat="1" applyFont="1" applyFill="1" applyBorder="1" applyAlignment="1">
      <x:alignment vertical="center" wrapText="1"/>
    </x:xf>
    <x:xf numFmtId="0" fontId="0" fillId="5" borderId="4" xfId="0" applyNumberFormat="1" applyFont="1" applyFill="1" applyBorder="1" applyAlignment="1">
      <x:alignment vertical="center" wrapText="1"/>
    </x:xf>
    <x:xf numFmtId="0" fontId="0" fillId="5" borderId="5" xfId="0" applyNumberFormat="1" applyFont="1" applyFill="1" applyBorder="1" applyAlignment="1">
      <x:alignment vertical="center" wrapText="1"/>
    </x:xf>
    <x:xf numFmtId="0" fontId="0" fillId="5" borderId="6" xfId="0" applyNumberFormat="1" applyFont="1" applyFill="1" applyBorder="1" applyAlignment="1">
      <x:alignment vertical="center" wrapText="1"/>
    </x:xf>
    <x:xf numFmtId="0" fontId="7" fillId="5" borderId="4" xfId="0" applyNumberFormat="1" applyFont="1" applyFill="1" applyBorder="1" applyAlignment="1">
      <x:alignment vertical="center" wrapText="1"/>
    </x:xf>
    <x:xf numFmtId="0" fontId="7" fillId="5" borderId="5" xfId="0" applyNumberFormat="1" applyFont="1" applyFill="1" applyBorder="1" applyAlignment="1">
      <x:alignment vertical="center" wrapText="1"/>
    </x:xf>
    <x:xf numFmtId="0" fontId="7" fillId="5" borderId="6" xfId="0" applyNumberFormat="1" applyFont="1" applyFill="1" applyBorder="1" applyAlignment="1">
      <x:alignment vertical="center" wrapText="1"/>
    </x:xf>
    <x:xf numFmtId="0" fontId="7" fillId="5" borderId="4" xfId="0" applyNumberFormat="1" applyFont="1" applyFill="1" applyBorder="1" applyAlignment="1">
      <x:alignment horizontal="center" vertical="center" wrapText="1"/>
    </x:xf>
    <x:xf numFmtId="0" fontId="7" fillId="5" borderId="5" xfId="0" applyNumberFormat="1" applyFont="1" applyFill="1" applyBorder="1" applyAlignment="1">
      <x:alignment horizontal="center" vertical="center" wrapText="1"/>
    </x:xf>
    <x:xf numFmtId="0" fontId="7" fillId="5" borderId="6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15a84f4a774ce8" /><Relationship Type="http://schemas.openxmlformats.org/officeDocument/2006/relationships/theme" Target="/xl/theme/theme1.xml" Id="Rae0c41b6c9d4464f" /><Relationship Type="http://schemas.openxmlformats.org/officeDocument/2006/relationships/sharedStrings" Target="/xl/sharedStrings.xml" Id="R4db4d43c12db4736" /><Relationship Type="http://schemas.openxmlformats.org/officeDocument/2006/relationships/worksheet" Target="/xl/worksheets/sheet1.xml" Id="Raa557d0009964e4c" /><Relationship Type="http://schemas.openxmlformats.org/officeDocument/2006/relationships/worksheet" Target="/xl/worksheets/sheet2.xml" Id="Rca7f61b1699d47cf" /><Relationship Type="http://schemas.openxmlformats.org/officeDocument/2006/relationships/worksheet" Target="/xl/worksheets/sheet3.xml" Id="Rd33fe1b487194f85" /><Relationship Type="http://schemas.openxmlformats.org/officeDocument/2006/relationships/worksheet" Target="/xl/worksheets/sheet4.xml" Id="Ra9784d9a331145b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7b7a3af3fc345c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Where testers experience friction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'Dashboard'!$A$11:$A$17</c:f>
              <c:strCache>
                <c:ptCount val="0"/>
              </c:strCache>
            </c:strRef>
          </c:cat>
          <c:val>
            <c:numRef>
              <c:f>'Dashboard'!$B$11:$B$17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9</xdr:row>
      <xdr:rowOff>0</xdr:rowOff>
    </xdr:from>
    <xdr:to>
      <xdr:col>12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7b7a3af3fc345c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c6b99aa037f649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0" hidden="0" customWidth="1"/>
    <x:col min="3" max="3" width="25" hidden="0" customWidth="1"/>
    <x:col min="4" max="4" width="24" hidden="0" customWidth="1"/>
    <x:col min="5" max="5" width="12" hidden="0" customWidth="1"/>
    <x:col min="6" max="6" width="16" hidden="0" customWidth="1"/>
    <x:col min="7" max="7" width="32" hidden="0" customWidth="1"/>
    <x:col min="8" max="8" width="18" hidden="0" customWidth="1"/>
    <x:col min="9" max="9" width="24" hidden="0" customWidth="1"/>
    <x:col min="10" max="10" width="30" hidden="0" customWidth="1"/>
    <x:col min="11" max="11" width="20" hidden="0" customWidth="1"/>
    <x:col min="12" max="12" width="18" hidden="0" customWidth="1"/>
    <x:col min="13" max="13" width="16" hidden="0" customWidth="1"/>
    <x:col min="14" max="14" width="16" hidden="0" customWidth="1"/>
    <x:col min="15" max="15" width="14" hidden="0" customWidth="1"/>
    <x:col min="16" max="16" width="14" hidden="0" customWidth="1"/>
    <x:col min="17" max="17" width="18" hidden="0" customWidth="1"/>
    <x:col min="18" max="18" width="18" hidden="0" customWidth="1"/>
  </x:cols>
  <x:sheetData>
    <x:row r="1" ht="34" customHeight="1">
      <x:c r="A1" s="4" t="str">
        <x:v>PollChain Level 5 — Private Tester Intake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40" customHeight="1">
      <x:c r="A2" s="7" t="str">
        <x:v>Do not publish names or email addresses. Paste only consented wallet and transaction evidence into the public sheet.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3" ht="22" customHeight="1"/>
    <x:row r="4" ht="42" customHeight="1">
      <x:c r="A4" s="13" t="str">
        <x:v>Tester ID</x:v>
      </x:c>
      <x:c r="B4" s="14" t="str">
        <x:v>Name (private)</x:v>
      </x:c>
      <x:c r="C4" s="14" t="str">
        <x:v>Email (private)</x:v>
      </x:c>
      <x:c r="D4" s="14" t="str">
        <x:v>Wallet Address</x:v>
      </x:c>
      <x:c r="E4" s="14" t="str">
        <x:v>Rating (1–5)</x:v>
      </x:c>
      <x:c r="F4" s="14" t="str">
        <x:v>Feedback Theme</x:v>
      </x:c>
      <x:c r="G4" s="14" t="str">
        <x:v>Feedback</x:v>
      </x:c>
      <x:c r="H4" s="14" t="str">
        <x:v>Interaction Type</x:v>
      </x:c>
      <x:c r="I4" s="14" t="str">
        <x:v>Transaction Hash</x:v>
      </x:c>
      <x:c r="J4" s="14" t="str">
        <x:v>StellarExpert URL</x:v>
      </x:c>
      <x:c r="K4" s="14" t="str">
        <x:v>Interaction Time</x:v>
      </x:c>
      <x:c r="L4" s="14" t="str">
        <x:v>Consent to Publish</x:v>
      </x:c>
      <x:c r="M4" s="14" t="str">
        <x:v>Unique Wallet</x:v>
      </x:c>
      <x:c r="N4" s="14" t="str">
        <x:v>Wallet Format</x:v>
      </x:c>
      <x:c r="O4" s="14" t="str">
        <x:v>Tx Format</x:v>
      </x:c>
      <x:c r="P4" s="14" t="str">
        <x:v>Interval (min)</x:v>
      </x:c>
      <x:c r="Q4" s="14" t="str">
        <x:v>2–3 Min Interval</x:v>
      </x:c>
      <x:c r="R4" s="15" t="str">
        <x:v>Evidence Ready</x:v>
      </x:c>
    </x:row>
    <x:row r="5" ht="22" customHeight="1">
      <x:c r="A5" s="16" t="str">
        <x:v>T-001</x:v>
      </x:c>
      <x:c r="B5" s="16"/>
      <x:c r="C5" s="16"/>
      <x:c r="D5" s="16"/>
      <x:c r="E5" s="16"/>
      <x:c r="F5" s="16"/>
      <x:c r="G5" s="16"/>
      <x:c r="H5" s="16"/>
      <x:c r="I5" s="16"/>
      <x:c r="J5" s="16"/>
      <x:c r="K5" s="17"/>
      <x:c r="L5" s="16"/>
      <x:c r="M5" s="25" t="str">
        <x:f>IF(D5="","",IF(COUNTIF($D$5:D5,D5)=1,"YES","DUPLICATE"))</x:f>
      </x:c>
      <x:c r="N5" s="25" t="str">
        <x:f>IF(D5="","",IF(AND(LEN(D5)=56,LEFT(D5,1)="G"),"VALID","CHECK"))</x:f>
      </x:c>
      <x:c r="O5" s="25" t="str">
        <x:f>IF(I5="","",IF(LEN(I5)=64,"VALID","CHECK"))</x:f>
      </x:c>
      <x:c r="P5" s="26"/>
      <x:c r="Q5" s="25"/>
      <x:c r="R5" s="25" t="str">
        <x:f>IF(D5="","",IF(AND(L5="YES",M5="YES",N5="VALID",O5="VALID"),"READY","INCOMPLETE"))</x:f>
      </x:c>
    </x:row>
    <x:row r="6" ht="22" customHeight="1">
      <x:c r="A6" s="19" t="str">
        <x:v>T-002</x:v>
      </x:c>
      <x:c r="B6" s="19"/>
      <x:c r="C6" s="19"/>
      <x:c r="D6" s="19"/>
      <x:c r="E6" s="19"/>
      <x:c r="F6" s="19"/>
      <x:c r="G6" s="19"/>
      <x:c r="H6" s="19"/>
      <x:c r="I6" s="19"/>
      <x:c r="J6" s="19"/>
      <x:c r="K6" s="20"/>
      <x:c r="L6" s="19"/>
      <x:c r="M6" s="27" t="str">
        <x:f>IF(D6="","",IF(COUNTIF($D$5:D6,D6)=1,"YES","DUPLICATE"))</x:f>
      </x:c>
      <x:c r="N6" s="27" t="str">
        <x:f>IF(D6="","",IF(AND(LEN(D6)=56,LEFT(D6,1)="G"),"VALID","CHECK"))</x:f>
      </x:c>
      <x:c r="O6" s="27" t="str">
        <x:f>IF(I6="","",IF(LEN(I6)=64,"VALID","CHECK"))</x:f>
      </x:c>
      <x:c r="P6" s="28" t="str">
        <x:f>IF(OR(K6="",K5=""),"",(K6-K5)*1440)</x:f>
      </x:c>
      <x:c r="Q6" s="27" t="str">
        <x:f>IF(P6="","",IF(AND(P6&gt;=2,P6&lt;=3),"YES","CHECK"))</x:f>
      </x:c>
      <x:c r="R6" s="27" t="str">
        <x:f>IF(D6="","",IF(AND(L6="YES",M6="YES",N6="VALID",O6="VALID"),"READY","INCOMPLETE"))</x:f>
      </x:c>
    </x:row>
    <x:row r="7" ht="22" customHeight="1">
      <x:c r="A7" s="19" t="str">
        <x:v>T-003</x:v>
      </x:c>
      <x:c r="B7" s="19"/>
      <x:c r="C7" s="19"/>
      <x:c r="D7" s="19"/>
      <x:c r="E7" s="19"/>
      <x:c r="F7" s="19"/>
      <x:c r="G7" s="19"/>
      <x:c r="H7" s="19"/>
      <x:c r="I7" s="19"/>
      <x:c r="J7" s="19"/>
      <x:c r="K7" s="20"/>
      <x:c r="L7" s="19"/>
      <x:c r="M7" s="27" t="str">
        <x:f>IF(D7="","",IF(COUNTIF($D$5:D7,D7)=1,"YES","DUPLICATE"))</x:f>
      </x:c>
      <x:c r="N7" s="27" t="str">
        <x:f>IF(D7="","",IF(AND(LEN(D7)=56,LEFT(D7,1)="G"),"VALID","CHECK"))</x:f>
      </x:c>
      <x:c r="O7" s="27" t="str">
        <x:f>IF(I7="","",IF(LEN(I7)=64,"VALID","CHECK"))</x:f>
      </x:c>
      <x:c r="P7" s="28" t="str">
        <x:f>IF(OR(K7="",K6=""),"",(K7-K6)*1440)</x:f>
      </x:c>
      <x:c r="Q7" s="27" t="str">
        <x:f>IF(P7="","",IF(AND(P7&gt;=2,P7&lt;=3),"YES","CHECK"))</x:f>
      </x:c>
      <x:c r="R7" s="27" t="str">
        <x:f>IF(D7="","",IF(AND(L7="YES",M7="YES",N7="VALID",O7="VALID"),"READY","INCOMPLETE"))</x:f>
      </x:c>
    </x:row>
    <x:row r="8" ht="22" customHeight="1">
      <x:c r="A8" s="19" t="str">
        <x:v>T-004</x:v>
      </x:c>
      <x:c r="B8" s="19"/>
      <x:c r="C8" s="19"/>
      <x:c r="D8" s="19"/>
      <x:c r="E8" s="19"/>
      <x:c r="F8" s="19"/>
      <x:c r="G8" s="19"/>
      <x:c r="H8" s="19"/>
      <x:c r="I8" s="19"/>
      <x:c r="J8" s="19"/>
      <x:c r="K8" s="20"/>
      <x:c r="L8" s="19"/>
      <x:c r="M8" s="27" t="str">
        <x:f>IF(D8="","",IF(COUNTIF($D$5:D8,D8)=1,"YES","DUPLICATE"))</x:f>
      </x:c>
      <x:c r="N8" s="27" t="str">
        <x:f>IF(D8="","",IF(AND(LEN(D8)=56,LEFT(D8,1)="G"),"VALID","CHECK"))</x:f>
      </x:c>
      <x:c r="O8" s="27" t="str">
        <x:f>IF(I8="","",IF(LEN(I8)=64,"VALID","CHECK"))</x:f>
      </x:c>
      <x:c r="P8" s="28" t="str">
        <x:f>IF(OR(K8="",K7=""),"",(K8-K7)*1440)</x:f>
      </x:c>
      <x:c r="Q8" s="27" t="str">
        <x:f>IF(P8="","",IF(AND(P8&gt;=2,P8&lt;=3),"YES","CHECK"))</x:f>
      </x:c>
      <x:c r="R8" s="27" t="str">
        <x:f>IF(D8="","",IF(AND(L8="YES",M8="YES",N8="VALID",O8="VALID"),"READY","INCOMPLETE"))</x:f>
      </x:c>
    </x:row>
    <x:row r="9" ht="22" customHeight="1">
      <x:c r="A9" s="19" t="str">
        <x:v>T-005</x:v>
      </x:c>
      <x:c r="B9" s="19"/>
      <x:c r="C9" s="19"/>
      <x:c r="D9" s="19"/>
      <x:c r="E9" s="19"/>
      <x:c r="F9" s="19"/>
      <x:c r="G9" s="19"/>
      <x:c r="H9" s="19"/>
      <x:c r="I9" s="19"/>
      <x:c r="J9" s="19"/>
      <x:c r="K9" s="20"/>
      <x:c r="L9" s="19"/>
      <x:c r="M9" s="27" t="str">
        <x:f>IF(D9="","",IF(COUNTIF($D$5:D9,D9)=1,"YES","DUPLICATE"))</x:f>
      </x:c>
      <x:c r="N9" s="27" t="str">
        <x:f>IF(D9="","",IF(AND(LEN(D9)=56,LEFT(D9,1)="G"),"VALID","CHECK"))</x:f>
      </x:c>
      <x:c r="O9" s="27" t="str">
        <x:f>IF(I9="","",IF(LEN(I9)=64,"VALID","CHECK"))</x:f>
      </x:c>
      <x:c r="P9" s="28" t="str">
        <x:f>IF(OR(K9="",K8=""),"",(K9-K8)*1440)</x:f>
      </x:c>
      <x:c r="Q9" s="27" t="str">
        <x:f>IF(P9="","",IF(AND(P9&gt;=2,P9&lt;=3),"YES","CHECK"))</x:f>
      </x:c>
      <x:c r="R9" s="27" t="str">
        <x:f>IF(D9="","",IF(AND(L9="YES",M9="YES",N9="VALID",O9="VALID"),"READY","INCOMPLETE"))</x:f>
      </x:c>
    </x:row>
    <x:row r="10" ht="22" customHeight="1">
      <x:c r="A10" s="19" t="str">
        <x:v>T-006</x:v>
      </x:c>
      <x:c r="B10" s="19"/>
      <x:c r="C10" s="19"/>
      <x:c r="D10" s="19"/>
      <x:c r="E10" s="19"/>
      <x:c r="F10" s="19"/>
      <x:c r="G10" s="19"/>
      <x:c r="H10" s="19"/>
      <x:c r="I10" s="19"/>
      <x:c r="J10" s="19"/>
      <x:c r="K10" s="20"/>
      <x:c r="L10" s="19"/>
      <x:c r="M10" s="27" t="str">
        <x:f>IF(D10="","",IF(COUNTIF($D$5:D10,D10)=1,"YES","DUPLICATE"))</x:f>
      </x:c>
      <x:c r="N10" s="27" t="str">
        <x:f>IF(D10="","",IF(AND(LEN(D10)=56,LEFT(D10,1)="G"),"VALID","CHECK"))</x:f>
      </x:c>
      <x:c r="O10" s="27" t="str">
        <x:f>IF(I10="","",IF(LEN(I10)=64,"VALID","CHECK"))</x:f>
      </x:c>
      <x:c r="P10" s="28" t="str">
        <x:f>IF(OR(K10="",K9=""),"",(K10-K9)*1440)</x:f>
      </x:c>
      <x:c r="Q10" s="27" t="str">
        <x:f>IF(P10="","",IF(AND(P10&gt;=2,P10&lt;=3),"YES","CHECK"))</x:f>
      </x:c>
      <x:c r="R10" s="27" t="str">
        <x:f>IF(D10="","",IF(AND(L10="YES",M10="YES",N10="VALID",O10="VALID"),"READY","INCOMPLETE"))</x:f>
      </x:c>
    </x:row>
    <x:row r="11" ht="22" customHeight="1">
      <x:c r="A11" s="19" t="str">
        <x:v>T-007</x:v>
      </x:c>
      <x:c r="B11" s="19"/>
      <x:c r="C11" s="19"/>
      <x:c r="D11" s="19"/>
      <x:c r="E11" s="19"/>
      <x:c r="F11" s="19"/>
      <x:c r="G11" s="19"/>
      <x:c r="H11" s="19"/>
      <x:c r="I11" s="19"/>
      <x:c r="J11" s="19"/>
      <x:c r="K11" s="20"/>
      <x:c r="L11" s="19"/>
      <x:c r="M11" s="27" t="str">
        <x:f>IF(D11="","",IF(COUNTIF($D$5:D11,D11)=1,"YES","DUPLICATE"))</x:f>
      </x:c>
      <x:c r="N11" s="27" t="str">
        <x:f>IF(D11="","",IF(AND(LEN(D11)=56,LEFT(D11,1)="G"),"VALID","CHECK"))</x:f>
      </x:c>
      <x:c r="O11" s="27" t="str">
        <x:f>IF(I11="","",IF(LEN(I11)=64,"VALID","CHECK"))</x:f>
      </x:c>
      <x:c r="P11" s="28" t="str">
        <x:f>IF(OR(K11="",K10=""),"",(K11-K10)*1440)</x:f>
      </x:c>
      <x:c r="Q11" s="27" t="str">
        <x:f>IF(P11="","",IF(AND(P11&gt;=2,P11&lt;=3),"YES","CHECK"))</x:f>
      </x:c>
      <x:c r="R11" s="27" t="str">
        <x:f>IF(D11="","",IF(AND(L11="YES",M11="YES",N11="VALID",O11="VALID"),"READY","INCOMPLETE"))</x:f>
      </x:c>
    </x:row>
    <x:row r="12" ht="22" customHeight="1">
      <x:c r="A12" s="19" t="str">
        <x:v>T-008</x:v>
      </x:c>
      <x:c r="B12" s="19"/>
      <x:c r="C12" s="19"/>
      <x:c r="D12" s="19"/>
      <x:c r="E12" s="19"/>
      <x:c r="F12" s="19"/>
      <x:c r="G12" s="19"/>
      <x:c r="H12" s="19"/>
      <x:c r="I12" s="19"/>
      <x:c r="J12" s="19"/>
      <x:c r="K12" s="20"/>
      <x:c r="L12" s="19"/>
      <x:c r="M12" s="27" t="str">
        <x:f>IF(D12="","",IF(COUNTIF($D$5:D12,D12)=1,"YES","DUPLICATE"))</x:f>
      </x:c>
      <x:c r="N12" s="27" t="str">
        <x:f>IF(D12="","",IF(AND(LEN(D12)=56,LEFT(D12,1)="G"),"VALID","CHECK"))</x:f>
      </x:c>
      <x:c r="O12" s="27" t="str">
        <x:f>IF(I12="","",IF(LEN(I12)=64,"VALID","CHECK"))</x:f>
      </x:c>
      <x:c r="P12" s="28" t="str">
        <x:f>IF(OR(K12="",K11=""),"",(K12-K11)*1440)</x:f>
      </x:c>
      <x:c r="Q12" s="27" t="str">
        <x:f>IF(P12="","",IF(AND(P12&gt;=2,P12&lt;=3),"YES","CHECK"))</x:f>
      </x:c>
      <x:c r="R12" s="27" t="str">
        <x:f>IF(D12="","",IF(AND(L12="YES",M12="YES",N12="VALID",O12="VALID"),"READY","INCOMPLETE"))</x:f>
      </x:c>
    </x:row>
    <x:row r="13" ht="22" customHeight="1">
      <x:c r="A13" s="19" t="str">
        <x:v>T-009</x:v>
      </x:c>
      <x:c r="B13" s="19"/>
      <x:c r="C13" s="19"/>
      <x:c r="D13" s="19"/>
      <x:c r="E13" s="19"/>
      <x:c r="F13" s="19"/>
      <x:c r="G13" s="19"/>
      <x:c r="H13" s="19"/>
      <x:c r="I13" s="19"/>
      <x:c r="J13" s="19"/>
      <x:c r="K13" s="20"/>
      <x:c r="L13" s="19"/>
      <x:c r="M13" s="27" t="str">
        <x:f>IF(D13="","",IF(COUNTIF($D$5:D13,D13)=1,"YES","DUPLICATE"))</x:f>
      </x:c>
      <x:c r="N13" s="27" t="str">
        <x:f>IF(D13="","",IF(AND(LEN(D13)=56,LEFT(D13,1)="G"),"VALID","CHECK"))</x:f>
      </x:c>
      <x:c r="O13" s="27" t="str">
        <x:f>IF(I13="","",IF(LEN(I13)=64,"VALID","CHECK"))</x:f>
      </x:c>
      <x:c r="P13" s="28" t="str">
        <x:f>IF(OR(K13="",K12=""),"",(K13-K12)*1440)</x:f>
      </x:c>
      <x:c r="Q13" s="27" t="str">
        <x:f>IF(P13="","",IF(AND(P13&gt;=2,P13&lt;=3),"YES","CHECK"))</x:f>
      </x:c>
      <x:c r="R13" s="27" t="str">
        <x:f>IF(D13="","",IF(AND(L13="YES",M13="YES",N13="VALID",O13="VALID"),"READY","INCOMPLETE"))</x:f>
      </x:c>
    </x:row>
    <x:row r="14" ht="22" customHeight="1">
      <x:c r="A14" s="19" t="str">
        <x:v>T-010</x:v>
      </x:c>
      <x:c r="B14" s="19"/>
      <x:c r="C14" s="19"/>
      <x:c r="D14" s="19"/>
      <x:c r="E14" s="19"/>
      <x:c r="F14" s="19"/>
      <x:c r="G14" s="19"/>
      <x:c r="H14" s="19"/>
      <x:c r="I14" s="19"/>
      <x:c r="J14" s="19"/>
      <x:c r="K14" s="20"/>
      <x:c r="L14" s="19"/>
      <x:c r="M14" s="27" t="str">
        <x:f>IF(D14="","",IF(COUNTIF($D$5:D14,D14)=1,"YES","DUPLICATE"))</x:f>
      </x:c>
      <x:c r="N14" s="27" t="str">
        <x:f>IF(D14="","",IF(AND(LEN(D14)=56,LEFT(D14,1)="G"),"VALID","CHECK"))</x:f>
      </x:c>
      <x:c r="O14" s="27" t="str">
        <x:f>IF(I14="","",IF(LEN(I14)=64,"VALID","CHECK"))</x:f>
      </x:c>
      <x:c r="P14" s="28" t="str">
        <x:f>IF(OR(K14="",K13=""),"",(K14-K13)*1440)</x:f>
      </x:c>
      <x:c r="Q14" s="27" t="str">
        <x:f>IF(P14="","",IF(AND(P14&gt;=2,P14&lt;=3),"YES","CHECK"))</x:f>
      </x:c>
      <x:c r="R14" s="27" t="str">
        <x:f>IF(D14="","",IF(AND(L14="YES",M14="YES",N14="VALID",O14="VALID"),"READY","INCOMPLETE"))</x:f>
      </x:c>
    </x:row>
    <x:row r="15" ht="22" customHeight="1">
      <x:c r="A15" s="19" t="str">
        <x:v>T-011</x:v>
      </x:c>
      <x:c r="B15" s="19"/>
      <x:c r="C15" s="19"/>
      <x:c r="D15" s="19"/>
      <x:c r="E15" s="19"/>
      <x:c r="F15" s="19"/>
      <x:c r="G15" s="19"/>
      <x:c r="H15" s="19"/>
      <x:c r="I15" s="19"/>
      <x:c r="J15" s="19"/>
      <x:c r="K15" s="20"/>
      <x:c r="L15" s="19"/>
      <x:c r="M15" s="27" t="str">
        <x:f>IF(D15="","",IF(COUNTIF($D$5:D15,D15)=1,"YES","DUPLICATE"))</x:f>
      </x:c>
      <x:c r="N15" s="27" t="str">
        <x:f>IF(D15="","",IF(AND(LEN(D15)=56,LEFT(D15,1)="G"),"VALID","CHECK"))</x:f>
      </x:c>
      <x:c r="O15" s="27" t="str">
        <x:f>IF(I15="","",IF(LEN(I15)=64,"VALID","CHECK"))</x:f>
      </x:c>
      <x:c r="P15" s="28" t="str">
        <x:f>IF(OR(K15="",K14=""),"",(K15-K14)*1440)</x:f>
      </x:c>
      <x:c r="Q15" s="27" t="str">
        <x:f>IF(P15="","",IF(AND(P15&gt;=2,P15&lt;=3),"YES","CHECK"))</x:f>
      </x:c>
      <x:c r="R15" s="27" t="str">
        <x:f>IF(D15="","",IF(AND(L15="YES",M15="YES",N15="VALID",O15="VALID"),"READY","INCOMPLETE"))</x:f>
      </x:c>
    </x:row>
    <x:row r="16" ht="22" customHeight="1">
      <x:c r="A16" s="19" t="str">
        <x:v>T-012</x:v>
      </x:c>
      <x:c r="B16" s="19"/>
      <x:c r="C16" s="19"/>
      <x:c r="D16" s="19"/>
      <x:c r="E16" s="19"/>
      <x:c r="F16" s="19"/>
      <x:c r="G16" s="19"/>
      <x:c r="H16" s="19"/>
      <x:c r="I16" s="19"/>
      <x:c r="J16" s="19"/>
      <x:c r="K16" s="20"/>
      <x:c r="L16" s="19"/>
      <x:c r="M16" s="27" t="str">
        <x:f>IF(D16="","",IF(COUNTIF($D$5:D16,D16)=1,"YES","DUPLICATE"))</x:f>
      </x:c>
      <x:c r="N16" s="27" t="str">
        <x:f>IF(D16="","",IF(AND(LEN(D16)=56,LEFT(D16,1)="G"),"VALID","CHECK"))</x:f>
      </x:c>
      <x:c r="O16" s="27" t="str">
        <x:f>IF(I16="","",IF(LEN(I16)=64,"VALID","CHECK"))</x:f>
      </x:c>
      <x:c r="P16" s="28" t="str">
        <x:f>IF(OR(K16="",K15=""),"",(K16-K15)*1440)</x:f>
      </x:c>
      <x:c r="Q16" s="27" t="str">
        <x:f>IF(P16="","",IF(AND(P16&gt;=2,P16&lt;=3),"YES","CHECK"))</x:f>
      </x:c>
      <x:c r="R16" s="27" t="str">
        <x:f>IF(D16="","",IF(AND(L16="YES",M16="YES",N16="VALID",O16="VALID"),"READY","INCOMPLETE"))</x:f>
      </x:c>
    </x:row>
    <x:row r="17" ht="22" customHeight="1">
      <x:c r="A17" s="19" t="str">
        <x:v>T-013</x:v>
      </x:c>
      <x:c r="B17" s="19"/>
      <x:c r="C17" s="19"/>
      <x:c r="D17" s="19"/>
      <x:c r="E17" s="19"/>
      <x:c r="F17" s="19"/>
      <x:c r="G17" s="19"/>
      <x:c r="H17" s="19"/>
      <x:c r="I17" s="19"/>
      <x:c r="J17" s="19"/>
      <x:c r="K17" s="20"/>
      <x:c r="L17" s="19"/>
      <x:c r="M17" s="27" t="str">
        <x:f>IF(D17="","",IF(COUNTIF($D$5:D17,D17)=1,"YES","DUPLICATE"))</x:f>
      </x:c>
      <x:c r="N17" s="27" t="str">
        <x:f>IF(D17="","",IF(AND(LEN(D17)=56,LEFT(D17,1)="G"),"VALID","CHECK"))</x:f>
      </x:c>
      <x:c r="O17" s="27" t="str">
        <x:f>IF(I17="","",IF(LEN(I17)=64,"VALID","CHECK"))</x:f>
      </x:c>
      <x:c r="P17" s="28" t="str">
        <x:f>IF(OR(K17="",K16=""),"",(K17-K16)*1440)</x:f>
      </x:c>
      <x:c r="Q17" s="27" t="str">
        <x:f>IF(P17="","",IF(AND(P17&gt;=2,P17&lt;=3),"YES","CHECK"))</x:f>
      </x:c>
      <x:c r="R17" s="27" t="str">
        <x:f>IF(D17="","",IF(AND(L17="YES",M17="YES",N17="VALID",O17="VALID"),"READY","INCOMPLETE"))</x:f>
      </x:c>
    </x:row>
    <x:row r="18" ht="22" customHeight="1">
      <x:c r="A18" s="19" t="str">
        <x:v>T-014</x:v>
      </x:c>
      <x:c r="B18" s="19"/>
      <x:c r="C18" s="19"/>
      <x:c r="D18" s="19"/>
      <x:c r="E18" s="19"/>
      <x:c r="F18" s="19"/>
      <x:c r="G18" s="19"/>
      <x:c r="H18" s="19"/>
      <x:c r="I18" s="19"/>
      <x:c r="J18" s="19"/>
      <x:c r="K18" s="20"/>
      <x:c r="L18" s="19"/>
      <x:c r="M18" s="27" t="str">
        <x:f>IF(D18="","",IF(COUNTIF($D$5:D18,D18)=1,"YES","DUPLICATE"))</x:f>
      </x:c>
      <x:c r="N18" s="27" t="str">
        <x:f>IF(D18="","",IF(AND(LEN(D18)=56,LEFT(D18,1)="G"),"VALID","CHECK"))</x:f>
      </x:c>
      <x:c r="O18" s="27" t="str">
        <x:f>IF(I18="","",IF(LEN(I18)=64,"VALID","CHECK"))</x:f>
      </x:c>
      <x:c r="P18" s="28" t="str">
        <x:f>IF(OR(K18="",K17=""),"",(K18-K17)*1440)</x:f>
      </x:c>
      <x:c r="Q18" s="27" t="str">
        <x:f>IF(P18="","",IF(AND(P18&gt;=2,P18&lt;=3),"YES","CHECK"))</x:f>
      </x:c>
      <x:c r="R18" s="27" t="str">
        <x:f>IF(D18="","",IF(AND(L18="YES",M18="YES",N18="VALID",O18="VALID"),"READY","INCOMPLETE"))</x:f>
      </x:c>
    </x:row>
    <x:row r="19" ht="22" customHeight="1">
      <x:c r="A19" s="19" t="str">
        <x:v>T-015</x:v>
      </x:c>
      <x:c r="B19" s="19"/>
      <x:c r="C19" s="19"/>
      <x:c r="D19" s="19"/>
      <x:c r="E19" s="19"/>
      <x:c r="F19" s="19"/>
      <x:c r="G19" s="19"/>
      <x:c r="H19" s="19"/>
      <x:c r="I19" s="19"/>
      <x:c r="J19" s="19"/>
      <x:c r="K19" s="20"/>
      <x:c r="L19" s="19"/>
      <x:c r="M19" s="27" t="str">
        <x:f>IF(D19="","",IF(COUNTIF($D$5:D19,D19)=1,"YES","DUPLICATE"))</x:f>
      </x:c>
      <x:c r="N19" s="27" t="str">
        <x:f>IF(D19="","",IF(AND(LEN(D19)=56,LEFT(D19,1)="G"),"VALID","CHECK"))</x:f>
      </x:c>
      <x:c r="O19" s="27" t="str">
        <x:f>IF(I19="","",IF(LEN(I19)=64,"VALID","CHECK"))</x:f>
      </x:c>
      <x:c r="P19" s="28" t="str">
        <x:f>IF(OR(K19="",K18=""),"",(K19-K18)*1440)</x:f>
      </x:c>
      <x:c r="Q19" s="27" t="str">
        <x:f>IF(P19="","",IF(AND(P19&gt;=2,P19&lt;=3),"YES","CHECK"))</x:f>
      </x:c>
      <x:c r="R19" s="27" t="str">
        <x:f>IF(D19="","",IF(AND(L19="YES",M19="YES",N19="VALID",O19="VALID"),"READY","INCOMPLETE"))</x:f>
      </x:c>
    </x:row>
    <x:row r="20" ht="22" customHeight="1">
      <x:c r="A20" s="19" t="str">
        <x:v>T-016</x:v>
      </x:c>
      <x:c r="B20" s="19"/>
      <x:c r="C20" s="19"/>
      <x:c r="D20" s="19"/>
      <x:c r="E20" s="19"/>
      <x:c r="F20" s="19"/>
      <x:c r="G20" s="19"/>
      <x:c r="H20" s="19"/>
      <x:c r="I20" s="19"/>
      <x:c r="J20" s="19"/>
      <x:c r="K20" s="20"/>
      <x:c r="L20" s="19"/>
      <x:c r="M20" s="27" t="str">
        <x:f>IF(D20="","",IF(COUNTIF($D$5:D20,D20)=1,"YES","DUPLICATE"))</x:f>
      </x:c>
      <x:c r="N20" s="27" t="str">
        <x:f>IF(D20="","",IF(AND(LEN(D20)=56,LEFT(D20,1)="G"),"VALID","CHECK"))</x:f>
      </x:c>
      <x:c r="O20" s="27" t="str">
        <x:f>IF(I20="","",IF(LEN(I20)=64,"VALID","CHECK"))</x:f>
      </x:c>
      <x:c r="P20" s="28" t="str">
        <x:f>IF(OR(K20="",K19=""),"",(K20-K19)*1440)</x:f>
      </x:c>
      <x:c r="Q20" s="27" t="str">
        <x:f>IF(P20="","",IF(AND(P20&gt;=2,P20&lt;=3),"YES","CHECK"))</x:f>
      </x:c>
      <x:c r="R20" s="27" t="str">
        <x:f>IF(D20="","",IF(AND(L20="YES",M20="YES",N20="VALID",O20="VALID"),"READY","INCOMPLETE"))</x:f>
      </x:c>
    </x:row>
    <x:row r="21" ht="22" customHeight="1">
      <x:c r="A21" s="19" t="str">
        <x:v>T-017</x:v>
      </x:c>
      <x:c r="B21" s="19"/>
      <x:c r="C21" s="19"/>
      <x:c r="D21" s="19"/>
      <x:c r="E21" s="19"/>
      <x:c r="F21" s="19"/>
      <x:c r="G21" s="19"/>
      <x:c r="H21" s="19"/>
      <x:c r="I21" s="19"/>
      <x:c r="J21" s="19"/>
      <x:c r="K21" s="20"/>
      <x:c r="L21" s="19"/>
      <x:c r="M21" s="27" t="str">
        <x:f>IF(D21="","",IF(COUNTIF($D$5:D21,D21)=1,"YES","DUPLICATE"))</x:f>
      </x:c>
      <x:c r="N21" s="27" t="str">
        <x:f>IF(D21="","",IF(AND(LEN(D21)=56,LEFT(D21,1)="G"),"VALID","CHECK"))</x:f>
      </x:c>
      <x:c r="O21" s="27" t="str">
        <x:f>IF(I21="","",IF(LEN(I21)=64,"VALID","CHECK"))</x:f>
      </x:c>
      <x:c r="P21" s="28" t="str">
        <x:f>IF(OR(K21="",K20=""),"",(K21-K20)*1440)</x:f>
      </x:c>
      <x:c r="Q21" s="27" t="str">
        <x:f>IF(P21="","",IF(AND(P21&gt;=2,P21&lt;=3),"YES","CHECK"))</x:f>
      </x:c>
      <x:c r="R21" s="27" t="str">
        <x:f>IF(D21="","",IF(AND(L21="YES",M21="YES",N21="VALID",O21="VALID"),"READY","INCOMPLETE"))</x:f>
      </x:c>
    </x:row>
    <x:row r="22" ht="22" customHeight="1">
      <x:c r="A22" s="19" t="str">
        <x:v>T-018</x:v>
      </x:c>
      <x:c r="B22" s="19"/>
      <x:c r="C22" s="19"/>
      <x:c r="D22" s="19"/>
      <x:c r="E22" s="19"/>
      <x:c r="F22" s="19"/>
      <x:c r="G22" s="19"/>
      <x:c r="H22" s="19"/>
      <x:c r="I22" s="19"/>
      <x:c r="J22" s="19"/>
      <x:c r="K22" s="20"/>
      <x:c r="L22" s="19"/>
      <x:c r="M22" s="27" t="str">
        <x:f>IF(D22="","",IF(COUNTIF($D$5:D22,D22)=1,"YES","DUPLICATE"))</x:f>
      </x:c>
      <x:c r="N22" s="27" t="str">
        <x:f>IF(D22="","",IF(AND(LEN(D22)=56,LEFT(D22,1)="G"),"VALID","CHECK"))</x:f>
      </x:c>
      <x:c r="O22" s="27" t="str">
        <x:f>IF(I22="","",IF(LEN(I22)=64,"VALID","CHECK"))</x:f>
      </x:c>
      <x:c r="P22" s="28" t="str">
        <x:f>IF(OR(K22="",K21=""),"",(K22-K21)*1440)</x:f>
      </x:c>
      <x:c r="Q22" s="27" t="str">
        <x:f>IF(P22="","",IF(AND(P22&gt;=2,P22&lt;=3),"YES","CHECK"))</x:f>
      </x:c>
      <x:c r="R22" s="27" t="str">
        <x:f>IF(D22="","",IF(AND(L22="YES",M22="YES",N22="VALID",O22="VALID"),"READY","INCOMPLETE"))</x:f>
      </x:c>
    </x:row>
    <x:row r="23" ht="22" customHeight="1">
      <x:c r="A23" s="19" t="str">
        <x:v>T-019</x:v>
      </x:c>
      <x:c r="B23" s="19"/>
      <x:c r="C23" s="19"/>
      <x:c r="D23" s="19"/>
      <x:c r="E23" s="19"/>
      <x:c r="F23" s="19"/>
      <x:c r="G23" s="19"/>
      <x:c r="H23" s="19"/>
      <x:c r="I23" s="19"/>
      <x:c r="J23" s="19"/>
      <x:c r="K23" s="20"/>
      <x:c r="L23" s="19"/>
      <x:c r="M23" s="27" t="str">
        <x:f>IF(D23="","",IF(COUNTIF($D$5:D23,D23)=1,"YES","DUPLICATE"))</x:f>
      </x:c>
      <x:c r="N23" s="27" t="str">
        <x:f>IF(D23="","",IF(AND(LEN(D23)=56,LEFT(D23,1)="G"),"VALID","CHECK"))</x:f>
      </x:c>
      <x:c r="O23" s="27" t="str">
        <x:f>IF(I23="","",IF(LEN(I23)=64,"VALID","CHECK"))</x:f>
      </x:c>
      <x:c r="P23" s="28" t="str">
        <x:f>IF(OR(K23="",K22=""),"",(K23-K22)*1440)</x:f>
      </x:c>
      <x:c r="Q23" s="27" t="str">
        <x:f>IF(P23="","",IF(AND(P23&gt;=2,P23&lt;=3),"YES","CHECK"))</x:f>
      </x:c>
      <x:c r="R23" s="27" t="str">
        <x:f>IF(D23="","",IF(AND(L23="YES",M23="YES",N23="VALID",O23="VALID"),"READY","INCOMPLETE"))</x:f>
      </x:c>
    </x:row>
    <x:row r="24" ht="22" customHeight="1">
      <x:c r="A24" s="19" t="str">
        <x:v>T-020</x:v>
      </x:c>
      <x:c r="B24" s="19"/>
      <x:c r="C24" s="19"/>
      <x:c r="D24" s="19"/>
      <x:c r="E24" s="19"/>
      <x:c r="F24" s="19"/>
      <x:c r="G24" s="19"/>
      <x:c r="H24" s="19"/>
      <x:c r="I24" s="19"/>
      <x:c r="J24" s="19"/>
      <x:c r="K24" s="20"/>
      <x:c r="L24" s="19"/>
      <x:c r="M24" s="27" t="str">
        <x:f>IF(D24="","",IF(COUNTIF($D$5:D24,D24)=1,"YES","DUPLICATE"))</x:f>
      </x:c>
      <x:c r="N24" s="27" t="str">
        <x:f>IF(D24="","",IF(AND(LEN(D24)=56,LEFT(D24,1)="G"),"VALID","CHECK"))</x:f>
      </x:c>
      <x:c r="O24" s="27" t="str">
        <x:f>IF(I24="","",IF(LEN(I24)=64,"VALID","CHECK"))</x:f>
      </x:c>
      <x:c r="P24" s="28" t="str">
        <x:f>IF(OR(K24="",K23=""),"",(K24-K23)*1440)</x:f>
      </x:c>
      <x:c r="Q24" s="27" t="str">
        <x:f>IF(P24="","",IF(AND(P24&gt;=2,P24&lt;=3),"YES","CHECK"))</x:f>
      </x:c>
      <x:c r="R24" s="27" t="str">
        <x:f>IF(D24="","",IF(AND(L24="YES",M24="YES",N24="VALID",O24="VALID"),"READY","INCOMPLETE"))</x:f>
      </x:c>
    </x:row>
    <x:row r="25" ht="22" customHeight="1">
      <x:c r="A25" s="19" t="str">
        <x:v>T-021</x:v>
      </x:c>
      <x:c r="B25" s="19"/>
      <x:c r="C25" s="19"/>
      <x:c r="D25" s="19"/>
      <x:c r="E25" s="19"/>
      <x:c r="F25" s="19"/>
      <x:c r="G25" s="19"/>
      <x:c r="H25" s="19"/>
      <x:c r="I25" s="19"/>
      <x:c r="J25" s="19"/>
      <x:c r="K25" s="20"/>
      <x:c r="L25" s="19"/>
      <x:c r="M25" s="27" t="str">
        <x:f>IF(D25="","",IF(COUNTIF($D$5:D25,D25)=1,"YES","DUPLICATE"))</x:f>
      </x:c>
      <x:c r="N25" s="27" t="str">
        <x:f>IF(D25="","",IF(AND(LEN(D25)=56,LEFT(D25,1)="G"),"VALID","CHECK"))</x:f>
      </x:c>
      <x:c r="O25" s="27" t="str">
        <x:f>IF(I25="","",IF(LEN(I25)=64,"VALID","CHECK"))</x:f>
      </x:c>
      <x:c r="P25" s="28" t="str">
        <x:f>IF(OR(K25="",K24=""),"",(K25-K24)*1440)</x:f>
      </x:c>
      <x:c r="Q25" s="27" t="str">
        <x:f>IF(P25="","",IF(AND(P25&gt;=2,P25&lt;=3),"YES","CHECK"))</x:f>
      </x:c>
      <x:c r="R25" s="27" t="str">
        <x:f>IF(D25="","",IF(AND(L25="YES",M25="YES",N25="VALID",O25="VALID"),"READY","INCOMPLETE"))</x:f>
      </x:c>
    </x:row>
    <x:row r="26" ht="22" customHeight="1">
      <x:c r="A26" s="19" t="str">
        <x:v>T-022</x:v>
      </x:c>
      <x:c r="B26" s="19"/>
      <x:c r="C26" s="19"/>
      <x:c r="D26" s="19"/>
      <x:c r="E26" s="19"/>
      <x:c r="F26" s="19"/>
      <x:c r="G26" s="19"/>
      <x:c r="H26" s="19"/>
      <x:c r="I26" s="19"/>
      <x:c r="J26" s="19"/>
      <x:c r="K26" s="20"/>
      <x:c r="L26" s="19"/>
      <x:c r="M26" s="27" t="str">
        <x:f>IF(D26="","",IF(COUNTIF($D$5:D26,D26)=1,"YES","DUPLICATE"))</x:f>
      </x:c>
      <x:c r="N26" s="27" t="str">
        <x:f>IF(D26="","",IF(AND(LEN(D26)=56,LEFT(D26,1)="G"),"VALID","CHECK"))</x:f>
      </x:c>
      <x:c r="O26" s="27" t="str">
        <x:f>IF(I26="","",IF(LEN(I26)=64,"VALID","CHECK"))</x:f>
      </x:c>
      <x:c r="P26" s="28" t="str">
        <x:f>IF(OR(K26="",K25=""),"",(K26-K25)*1440)</x:f>
      </x:c>
      <x:c r="Q26" s="27" t="str">
        <x:f>IF(P26="","",IF(AND(P26&gt;=2,P26&lt;=3),"YES","CHECK"))</x:f>
      </x:c>
      <x:c r="R26" s="27" t="str">
        <x:f>IF(D26="","",IF(AND(L26="YES",M26="YES",N26="VALID",O26="VALID"),"READY","INCOMPLETE"))</x:f>
      </x:c>
    </x:row>
    <x:row r="27" ht="22" customHeight="1">
      <x:c r="A27" s="19" t="str">
        <x:v>T-023</x:v>
      </x:c>
      <x:c r="B27" s="19"/>
      <x:c r="C27" s="19"/>
      <x:c r="D27" s="19"/>
      <x:c r="E27" s="19"/>
      <x:c r="F27" s="19"/>
      <x:c r="G27" s="19"/>
      <x:c r="H27" s="19"/>
      <x:c r="I27" s="19"/>
      <x:c r="J27" s="19"/>
      <x:c r="K27" s="20"/>
      <x:c r="L27" s="19"/>
      <x:c r="M27" s="27" t="str">
        <x:f>IF(D27="","",IF(COUNTIF($D$5:D27,D27)=1,"YES","DUPLICATE"))</x:f>
      </x:c>
      <x:c r="N27" s="27" t="str">
        <x:f>IF(D27="","",IF(AND(LEN(D27)=56,LEFT(D27,1)="G"),"VALID","CHECK"))</x:f>
      </x:c>
      <x:c r="O27" s="27" t="str">
        <x:f>IF(I27="","",IF(LEN(I27)=64,"VALID","CHECK"))</x:f>
      </x:c>
      <x:c r="P27" s="28" t="str">
        <x:f>IF(OR(K27="",K26=""),"",(K27-K26)*1440)</x:f>
      </x:c>
      <x:c r="Q27" s="27" t="str">
        <x:f>IF(P27="","",IF(AND(P27&gt;=2,P27&lt;=3),"YES","CHECK"))</x:f>
      </x:c>
      <x:c r="R27" s="27" t="str">
        <x:f>IF(D27="","",IF(AND(L27="YES",M27="YES",N27="VALID",O27="VALID"),"READY","INCOMPLETE"))</x:f>
      </x:c>
    </x:row>
    <x:row r="28" ht="22" customHeight="1">
      <x:c r="A28" s="19" t="str">
        <x:v>T-024</x:v>
      </x:c>
      <x:c r="B28" s="19"/>
      <x:c r="C28" s="19"/>
      <x:c r="D28" s="19"/>
      <x:c r="E28" s="19"/>
      <x:c r="F28" s="19"/>
      <x:c r="G28" s="19"/>
      <x:c r="H28" s="19"/>
      <x:c r="I28" s="19"/>
      <x:c r="J28" s="19"/>
      <x:c r="K28" s="20"/>
      <x:c r="L28" s="19"/>
      <x:c r="M28" s="27" t="str">
        <x:f>IF(D28="","",IF(COUNTIF($D$5:D28,D28)=1,"YES","DUPLICATE"))</x:f>
      </x:c>
      <x:c r="N28" s="27" t="str">
        <x:f>IF(D28="","",IF(AND(LEN(D28)=56,LEFT(D28,1)="G"),"VALID","CHECK"))</x:f>
      </x:c>
      <x:c r="O28" s="27" t="str">
        <x:f>IF(I28="","",IF(LEN(I28)=64,"VALID","CHECK"))</x:f>
      </x:c>
      <x:c r="P28" s="28" t="str">
        <x:f>IF(OR(K28="",K27=""),"",(K28-K27)*1440)</x:f>
      </x:c>
      <x:c r="Q28" s="27" t="str">
        <x:f>IF(P28="","",IF(AND(P28&gt;=2,P28&lt;=3),"YES","CHECK"))</x:f>
      </x:c>
      <x:c r="R28" s="27" t="str">
        <x:f>IF(D28="","",IF(AND(L28="YES",M28="YES",N28="VALID",O28="VALID"),"READY","INCOMPLETE"))</x:f>
      </x:c>
    </x:row>
    <x:row r="29" ht="22" customHeight="1">
      <x:c r="A29" s="19" t="str">
        <x:v>T-025</x:v>
      </x:c>
      <x:c r="B29" s="19"/>
      <x:c r="C29" s="19"/>
      <x:c r="D29" s="19"/>
      <x:c r="E29" s="19"/>
      <x:c r="F29" s="19"/>
      <x:c r="G29" s="19"/>
      <x:c r="H29" s="19"/>
      <x:c r="I29" s="19"/>
      <x:c r="J29" s="19"/>
      <x:c r="K29" s="20"/>
      <x:c r="L29" s="19"/>
      <x:c r="M29" s="27" t="str">
        <x:f>IF(D29="","",IF(COUNTIF($D$5:D29,D29)=1,"YES","DUPLICATE"))</x:f>
      </x:c>
      <x:c r="N29" s="27" t="str">
        <x:f>IF(D29="","",IF(AND(LEN(D29)=56,LEFT(D29,1)="G"),"VALID","CHECK"))</x:f>
      </x:c>
      <x:c r="O29" s="27" t="str">
        <x:f>IF(I29="","",IF(LEN(I29)=64,"VALID","CHECK"))</x:f>
      </x:c>
      <x:c r="P29" s="28" t="str">
        <x:f>IF(OR(K29="",K28=""),"",(K29-K28)*1440)</x:f>
      </x:c>
      <x:c r="Q29" s="27" t="str">
        <x:f>IF(P29="","",IF(AND(P29&gt;=2,P29&lt;=3),"YES","CHECK"))</x:f>
      </x:c>
      <x:c r="R29" s="27" t="str">
        <x:f>IF(D29="","",IF(AND(L29="YES",M29="YES",N29="VALID",O29="VALID"),"READY","INCOMPLETE"))</x:f>
      </x:c>
    </x:row>
    <x:row r="30" ht="22" customHeight="1">
      <x:c r="A30" s="19" t="str">
        <x:v>T-026</x:v>
      </x:c>
      <x:c r="B30" s="19"/>
      <x:c r="C30" s="19"/>
      <x:c r="D30" s="19"/>
      <x:c r="E30" s="19"/>
      <x:c r="F30" s="19"/>
      <x:c r="G30" s="19"/>
      <x:c r="H30" s="19"/>
      <x:c r="I30" s="19"/>
      <x:c r="J30" s="19"/>
      <x:c r="K30" s="20"/>
      <x:c r="L30" s="19"/>
      <x:c r="M30" s="27" t="str">
        <x:f>IF(D30="","",IF(COUNTIF($D$5:D30,D30)=1,"YES","DUPLICATE"))</x:f>
      </x:c>
      <x:c r="N30" s="27" t="str">
        <x:f>IF(D30="","",IF(AND(LEN(D30)=56,LEFT(D30,1)="G"),"VALID","CHECK"))</x:f>
      </x:c>
      <x:c r="O30" s="27" t="str">
        <x:f>IF(I30="","",IF(LEN(I30)=64,"VALID","CHECK"))</x:f>
      </x:c>
      <x:c r="P30" s="28" t="str">
        <x:f>IF(OR(K30="",K29=""),"",(K30-K29)*1440)</x:f>
      </x:c>
      <x:c r="Q30" s="27" t="str">
        <x:f>IF(P30="","",IF(AND(P30&gt;=2,P30&lt;=3),"YES","CHECK"))</x:f>
      </x:c>
      <x:c r="R30" s="27" t="str">
        <x:f>IF(D30="","",IF(AND(L30="YES",M30="YES",N30="VALID",O30="VALID"),"READY","INCOMPLETE"))</x:f>
      </x:c>
    </x:row>
    <x:row r="31" ht="22" customHeight="1">
      <x:c r="A31" s="19" t="str">
        <x:v>T-027</x:v>
      </x:c>
      <x:c r="B31" s="19"/>
      <x:c r="C31" s="19"/>
      <x:c r="D31" s="19"/>
      <x:c r="E31" s="19"/>
      <x:c r="F31" s="19"/>
      <x:c r="G31" s="19"/>
      <x:c r="H31" s="19"/>
      <x:c r="I31" s="19"/>
      <x:c r="J31" s="19"/>
      <x:c r="K31" s="20"/>
      <x:c r="L31" s="19"/>
      <x:c r="M31" s="27" t="str">
        <x:f>IF(D31="","",IF(COUNTIF($D$5:D31,D31)=1,"YES","DUPLICATE"))</x:f>
      </x:c>
      <x:c r="N31" s="27" t="str">
        <x:f>IF(D31="","",IF(AND(LEN(D31)=56,LEFT(D31,1)="G"),"VALID","CHECK"))</x:f>
      </x:c>
      <x:c r="O31" s="27" t="str">
        <x:f>IF(I31="","",IF(LEN(I31)=64,"VALID","CHECK"))</x:f>
      </x:c>
      <x:c r="P31" s="28" t="str">
        <x:f>IF(OR(K31="",K30=""),"",(K31-K30)*1440)</x:f>
      </x:c>
      <x:c r="Q31" s="27" t="str">
        <x:f>IF(P31="","",IF(AND(P31&gt;=2,P31&lt;=3),"YES","CHECK"))</x:f>
      </x:c>
      <x:c r="R31" s="27" t="str">
        <x:f>IF(D31="","",IF(AND(L31="YES",M31="YES",N31="VALID",O31="VALID"),"READY","INCOMPLETE"))</x:f>
      </x:c>
    </x:row>
    <x:row r="32" ht="22" customHeight="1">
      <x:c r="A32" s="19" t="str">
        <x:v>T-028</x:v>
      </x:c>
      <x:c r="B32" s="19"/>
      <x:c r="C32" s="19"/>
      <x:c r="D32" s="19"/>
      <x:c r="E32" s="19"/>
      <x:c r="F32" s="19"/>
      <x:c r="G32" s="19"/>
      <x:c r="H32" s="19"/>
      <x:c r="I32" s="19"/>
      <x:c r="J32" s="19"/>
      <x:c r="K32" s="20"/>
      <x:c r="L32" s="19"/>
      <x:c r="M32" s="27" t="str">
        <x:f>IF(D32="","",IF(COUNTIF($D$5:D32,D32)=1,"YES","DUPLICATE"))</x:f>
      </x:c>
      <x:c r="N32" s="27" t="str">
        <x:f>IF(D32="","",IF(AND(LEN(D32)=56,LEFT(D32,1)="G"),"VALID","CHECK"))</x:f>
      </x:c>
      <x:c r="O32" s="27" t="str">
        <x:f>IF(I32="","",IF(LEN(I32)=64,"VALID","CHECK"))</x:f>
      </x:c>
      <x:c r="P32" s="28" t="str">
        <x:f>IF(OR(K32="",K31=""),"",(K32-K31)*1440)</x:f>
      </x:c>
      <x:c r="Q32" s="27" t="str">
        <x:f>IF(P32="","",IF(AND(P32&gt;=2,P32&lt;=3),"YES","CHECK"))</x:f>
      </x:c>
      <x:c r="R32" s="27" t="str">
        <x:f>IF(D32="","",IF(AND(L32="YES",M32="YES",N32="VALID",O32="VALID"),"READY","INCOMPLETE"))</x:f>
      </x:c>
    </x:row>
    <x:row r="33" ht="22" customHeight="1">
      <x:c r="A33" s="19" t="str">
        <x:v>T-029</x:v>
      </x:c>
      <x:c r="B33" s="19"/>
      <x:c r="C33" s="19"/>
      <x:c r="D33" s="19"/>
      <x:c r="E33" s="19"/>
      <x:c r="F33" s="19"/>
      <x:c r="G33" s="19"/>
      <x:c r="H33" s="19"/>
      <x:c r="I33" s="19"/>
      <x:c r="J33" s="19"/>
      <x:c r="K33" s="20"/>
      <x:c r="L33" s="19"/>
      <x:c r="M33" s="27" t="str">
        <x:f>IF(D33="","",IF(COUNTIF($D$5:D33,D33)=1,"YES","DUPLICATE"))</x:f>
      </x:c>
      <x:c r="N33" s="27" t="str">
        <x:f>IF(D33="","",IF(AND(LEN(D33)=56,LEFT(D33,1)="G"),"VALID","CHECK"))</x:f>
      </x:c>
      <x:c r="O33" s="27" t="str">
        <x:f>IF(I33="","",IF(LEN(I33)=64,"VALID","CHECK"))</x:f>
      </x:c>
      <x:c r="P33" s="28" t="str">
        <x:f>IF(OR(K33="",K32=""),"",(K33-K32)*1440)</x:f>
      </x:c>
      <x:c r="Q33" s="27" t="str">
        <x:f>IF(P33="","",IF(AND(P33&gt;=2,P33&lt;=3),"YES","CHECK"))</x:f>
      </x:c>
      <x:c r="R33" s="27" t="str">
        <x:f>IF(D33="","",IF(AND(L33="YES",M33="YES",N33="VALID",O33="VALID"),"READY","INCOMPLETE"))</x:f>
      </x:c>
    </x:row>
    <x:row r="34" ht="22" customHeight="1">
      <x:c r="A34" s="19" t="str">
        <x:v>T-030</x:v>
      </x:c>
      <x:c r="B34" s="19"/>
      <x:c r="C34" s="19"/>
      <x:c r="D34" s="19"/>
      <x:c r="E34" s="19"/>
      <x:c r="F34" s="19"/>
      <x:c r="G34" s="19"/>
      <x:c r="H34" s="19"/>
      <x:c r="I34" s="19"/>
      <x:c r="J34" s="19"/>
      <x:c r="K34" s="20"/>
      <x:c r="L34" s="19"/>
      <x:c r="M34" s="27" t="str">
        <x:f>IF(D34="","",IF(COUNTIF($D$5:D34,D34)=1,"YES","DUPLICATE"))</x:f>
      </x:c>
      <x:c r="N34" s="27" t="str">
        <x:f>IF(D34="","",IF(AND(LEN(D34)=56,LEFT(D34,1)="G"),"VALID","CHECK"))</x:f>
      </x:c>
      <x:c r="O34" s="27" t="str">
        <x:f>IF(I34="","",IF(LEN(I34)=64,"VALID","CHECK"))</x:f>
      </x:c>
      <x:c r="P34" s="28" t="str">
        <x:f>IF(OR(K34="",K33=""),"",(K34-K33)*1440)</x:f>
      </x:c>
      <x:c r="Q34" s="27" t="str">
        <x:f>IF(P34="","",IF(AND(P34&gt;=2,P34&lt;=3),"YES","CHECK"))</x:f>
      </x:c>
      <x:c r="R34" s="27" t="str">
        <x:f>IF(D34="","",IF(AND(L34="YES",M34="YES",N34="VALID",O34="VALID"),"READY","INCOMPLETE"))</x:f>
      </x:c>
    </x:row>
    <x:row r="35" ht="22" customHeight="1">
      <x:c r="A35" s="19" t="str">
        <x:v>T-031</x:v>
      </x:c>
      <x:c r="B35" s="19"/>
      <x:c r="C35" s="19"/>
      <x:c r="D35" s="19"/>
      <x:c r="E35" s="19"/>
      <x:c r="F35" s="19"/>
      <x:c r="G35" s="19"/>
      <x:c r="H35" s="19"/>
      <x:c r="I35" s="19"/>
      <x:c r="J35" s="19"/>
      <x:c r="K35" s="20"/>
      <x:c r="L35" s="19"/>
      <x:c r="M35" s="27" t="str">
        <x:f>IF(D35="","",IF(COUNTIF($D$5:D35,D35)=1,"YES","DUPLICATE"))</x:f>
      </x:c>
      <x:c r="N35" s="27" t="str">
        <x:f>IF(D35="","",IF(AND(LEN(D35)=56,LEFT(D35,1)="G"),"VALID","CHECK"))</x:f>
      </x:c>
      <x:c r="O35" s="27" t="str">
        <x:f>IF(I35="","",IF(LEN(I35)=64,"VALID","CHECK"))</x:f>
      </x:c>
      <x:c r="P35" s="28" t="str">
        <x:f>IF(OR(K35="",K34=""),"",(K35-K34)*1440)</x:f>
      </x:c>
      <x:c r="Q35" s="27" t="str">
        <x:f>IF(P35="","",IF(AND(P35&gt;=2,P35&lt;=3),"YES","CHECK"))</x:f>
      </x:c>
      <x:c r="R35" s="27" t="str">
        <x:f>IF(D35="","",IF(AND(L35="YES",M35="YES",N35="VALID",O35="VALID"),"READY","INCOMPLETE"))</x:f>
      </x:c>
    </x:row>
    <x:row r="36" ht="22" customHeight="1">
      <x:c r="A36" s="19" t="str">
        <x:v>T-032</x:v>
      </x:c>
      <x:c r="B36" s="19"/>
      <x:c r="C36" s="19"/>
      <x:c r="D36" s="19"/>
      <x:c r="E36" s="19"/>
      <x:c r="F36" s="19"/>
      <x:c r="G36" s="19"/>
      <x:c r="H36" s="19"/>
      <x:c r="I36" s="19"/>
      <x:c r="J36" s="19"/>
      <x:c r="K36" s="20"/>
      <x:c r="L36" s="19"/>
      <x:c r="M36" s="27" t="str">
        <x:f>IF(D36="","",IF(COUNTIF($D$5:D36,D36)=1,"YES","DUPLICATE"))</x:f>
      </x:c>
      <x:c r="N36" s="27" t="str">
        <x:f>IF(D36="","",IF(AND(LEN(D36)=56,LEFT(D36,1)="G"),"VALID","CHECK"))</x:f>
      </x:c>
      <x:c r="O36" s="27" t="str">
        <x:f>IF(I36="","",IF(LEN(I36)=64,"VALID","CHECK"))</x:f>
      </x:c>
      <x:c r="P36" s="28" t="str">
        <x:f>IF(OR(K36="",K35=""),"",(K36-K35)*1440)</x:f>
      </x:c>
      <x:c r="Q36" s="27" t="str">
        <x:f>IF(P36="","",IF(AND(P36&gt;=2,P36&lt;=3),"YES","CHECK"))</x:f>
      </x:c>
      <x:c r="R36" s="27" t="str">
        <x:f>IF(D36="","",IF(AND(L36="YES",M36="YES",N36="VALID",O36="VALID"),"READY","INCOMPLETE"))</x:f>
      </x:c>
    </x:row>
    <x:row r="37" ht="22" customHeight="1">
      <x:c r="A37" s="19" t="str">
        <x:v>T-033</x:v>
      </x:c>
      <x:c r="B37" s="19"/>
      <x:c r="C37" s="19"/>
      <x:c r="D37" s="19"/>
      <x:c r="E37" s="19"/>
      <x:c r="F37" s="19"/>
      <x:c r="G37" s="19"/>
      <x:c r="H37" s="19"/>
      <x:c r="I37" s="19"/>
      <x:c r="J37" s="19"/>
      <x:c r="K37" s="20"/>
      <x:c r="L37" s="19"/>
      <x:c r="M37" s="27" t="str">
        <x:f>IF(D37="","",IF(COUNTIF($D$5:D37,D37)=1,"YES","DUPLICATE"))</x:f>
      </x:c>
      <x:c r="N37" s="27" t="str">
        <x:f>IF(D37="","",IF(AND(LEN(D37)=56,LEFT(D37,1)="G"),"VALID","CHECK"))</x:f>
      </x:c>
      <x:c r="O37" s="27" t="str">
        <x:f>IF(I37="","",IF(LEN(I37)=64,"VALID","CHECK"))</x:f>
      </x:c>
      <x:c r="P37" s="28" t="str">
        <x:f>IF(OR(K37="",K36=""),"",(K37-K36)*1440)</x:f>
      </x:c>
      <x:c r="Q37" s="27" t="str">
        <x:f>IF(P37="","",IF(AND(P37&gt;=2,P37&lt;=3),"YES","CHECK"))</x:f>
      </x:c>
      <x:c r="R37" s="27" t="str">
        <x:f>IF(D37="","",IF(AND(L37="YES",M37="YES",N37="VALID",O37="VALID"),"READY","INCOMPLETE"))</x:f>
      </x:c>
    </x:row>
    <x:row r="38" ht="22" customHeight="1">
      <x:c r="A38" s="19" t="str">
        <x:v>T-034</x:v>
      </x:c>
      <x:c r="B38" s="19"/>
      <x:c r="C38" s="19"/>
      <x:c r="D38" s="19"/>
      <x:c r="E38" s="19"/>
      <x:c r="F38" s="19"/>
      <x:c r="G38" s="19"/>
      <x:c r="H38" s="19"/>
      <x:c r="I38" s="19"/>
      <x:c r="J38" s="19"/>
      <x:c r="K38" s="20"/>
      <x:c r="L38" s="19"/>
      <x:c r="M38" s="27" t="str">
        <x:f>IF(D38="","",IF(COUNTIF($D$5:D38,D38)=1,"YES","DUPLICATE"))</x:f>
      </x:c>
      <x:c r="N38" s="27" t="str">
        <x:f>IF(D38="","",IF(AND(LEN(D38)=56,LEFT(D38,1)="G"),"VALID","CHECK"))</x:f>
      </x:c>
      <x:c r="O38" s="27" t="str">
        <x:f>IF(I38="","",IF(LEN(I38)=64,"VALID","CHECK"))</x:f>
      </x:c>
      <x:c r="P38" s="28" t="str">
        <x:f>IF(OR(K38="",K37=""),"",(K38-K37)*1440)</x:f>
      </x:c>
      <x:c r="Q38" s="27" t="str">
        <x:f>IF(P38="","",IF(AND(P38&gt;=2,P38&lt;=3),"YES","CHECK"))</x:f>
      </x:c>
      <x:c r="R38" s="27" t="str">
        <x:f>IF(D38="","",IF(AND(L38="YES",M38="YES",N38="VALID",O38="VALID"),"READY","INCOMPLETE"))</x:f>
      </x:c>
    </x:row>
    <x:row r="39" ht="22" customHeight="1">
      <x:c r="A39" s="19" t="str">
        <x:v>T-035</x:v>
      </x:c>
      <x:c r="B39" s="19"/>
      <x:c r="C39" s="19"/>
      <x:c r="D39" s="19"/>
      <x:c r="E39" s="19"/>
      <x:c r="F39" s="19"/>
      <x:c r="G39" s="19"/>
      <x:c r="H39" s="19"/>
      <x:c r="I39" s="19"/>
      <x:c r="J39" s="19"/>
      <x:c r="K39" s="20"/>
      <x:c r="L39" s="19"/>
      <x:c r="M39" s="27" t="str">
        <x:f>IF(D39="","",IF(COUNTIF($D$5:D39,D39)=1,"YES","DUPLICATE"))</x:f>
      </x:c>
      <x:c r="N39" s="27" t="str">
        <x:f>IF(D39="","",IF(AND(LEN(D39)=56,LEFT(D39,1)="G"),"VALID","CHECK"))</x:f>
      </x:c>
      <x:c r="O39" s="27" t="str">
        <x:f>IF(I39="","",IF(LEN(I39)=64,"VALID","CHECK"))</x:f>
      </x:c>
      <x:c r="P39" s="28" t="str">
        <x:f>IF(OR(K39="",K38=""),"",(K39-K38)*1440)</x:f>
      </x:c>
      <x:c r="Q39" s="27" t="str">
        <x:f>IF(P39="","",IF(AND(P39&gt;=2,P39&lt;=3),"YES","CHECK"))</x:f>
      </x:c>
      <x:c r="R39" s="27" t="str">
        <x:f>IF(D39="","",IF(AND(L39="YES",M39="YES",N39="VALID",O39="VALID"),"READY","INCOMPLETE"))</x:f>
      </x:c>
    </x:row>
    <x:row r="40" ht="22" customHeight="1">
      <x:c r="A40" s="19" t="str">
        <x:v>T-036</x:v>
      </x:c>
      <x:c r="B40" s="19"/>
      <x:c r="C40" s="19"/>
      <x:c r="D40" s="19"/>
      <x:c r="E40" s="19"/>
      <x:c r="F40" s="19"/>
      <x:c r="G40" s="19"/>
      <x:c r="H40" s="19"/>
      <x:c r="I40" s="19"/>
      <x:c r="J40" s="19"/>
      <x:c r="K40" s="20"/>
      <x:c r="L40" s="19"/>
      <x:c r="M40" s="27" t="str">
        <x:f>IF(D40="","",IF(COUNTIF($D$5:D40,D40)=1,"YES","DUPLICATE"))</x:f>
      </x:c>
      <x:c r="N40" s="27" t="str">
        <x:f>IF(D40="","",IF(AND(LEN(D40)=56,LEFT(D40,1)="G"),"VALID","CHECK"))</x:f>
      </x:c>
      <x:c r="O40" s="27" t="str">
        <x:f>IF(I40="","",IF(LEN(I40)=64,"VALID","CHECK"))</x:f>
      </x:c>
      <x:c r="P40" s="28" t="str">
        <x:f>IF(OR(K40="",K39=""),"",(K40-K39)*1440)</x:f>
      </x:c>
      <x:c r="Q40" s="27" t="str">
        <x:f>IF(P40="","",IF(AND(P40&gt;=2,P40&lt;=3),"YES","CHECK"))</x:f>
      </x:c>
      <x:c r="R40" s="27" t="str">
        <x:f>IF(D40="","",IF(AND(L40="YES",M40="YES",N40="VALID",O40="VALID"),"READY","INCOMPLETE"))</x:f>
      </x:c>
    </x:row>
    <x:row r="41" ht="22" customHeight="1">
      <x:c r="A41" s="19" t="str">
        <x:v>T-037</x:v>
      </x:c>
      <x:c r="B41" s="19"/>
      <x:c r="C41" s="19"/>
      <x:c r="D41" s="19"/>
      <x:c r="E41" s="19"/>
      <x:c r="F41" s="19"/>
      <x:c r="G41" s="19"/>
      <x:c r="H41" s="19"/>
      <x:c r="I41" s="19"/>
      <x:c r="J41" s="19"/>
      <x:c r="K41" s="20"/>
      <x:c r="L41" s="19"/>
      <x:c r="M41" s="27" t="str">
        <x:f>IF(D41="","",IF(COUNTIF($D$5:D41,D41)=1,"YES","DUPLICATE"))</x:f>
      </x:c>
      <x:c r="N41" s="27" t="str">
        <x:f>IF(D41="","",IF(AND(LEN(D41)=56,LEFT(D41,1)="G"),"VALID","CHECK"))</x:f>
      </x:c>
      <x:c r="O41" s="27" t="str">
        <x:f>IF(I41="","",IF(LEN(I41)=64,"VALID","CHECK"))</x:f>
      </x:c>
      <x:c r="P41" s="28" t="str">
        <x:f>IF(OR(K41="",K40=""),"",(K41-K40)*1440)</x:f>
      </x:c>
      <x:c r="Q41" s="27" t="str">
        <x:f>IF(P41="","",IF(AND(P41&gt;=2,P41&lt;=3),"YES","CHECK"))</x:f>
      </x:c>
      <x:c r="R41" s="27" t="str">
        <x:f>IF(D41="","",IF(AND(L41="YES",M41="YES",N41="VALID",O41="VALID"),"READY","INCOMPLETE"))</x:f>
      </x:c>
    </x:row>
    <x:row r="42" ht="22" customHeight="1">
      <x:c r="A42" s="19" t="str">
        <x:v>T-038</x:v>
      </x:c>
      <x:c r="B42" s="19"/>
      <x:c r="C42" s="19"/>
      <x:c r="D42" s="19"/>
      <x:c r="E42" s="19"/>
      <x:c r="F42" s="19"/>
      <x:c r="G42" s="19"/>
      <x:c r="H42" s="19"/>
      <x:c r="I42" s="19"/>
      <x:c r="J42" s="19"/>
      <x:c r="K42" s="20"/>
      <x:c r="L42" s="19"/>
      <x:c r="M42" s="27" t="str">
        <x:f>IF(D42="","",IF(COUNTIF($D$5:D42,D42)=1,"YES","DUPLICATE"))</x:f>
      </x:c>
      <x:c r="N42" s="27" t="str">
        <x:f>IF(D42="","",IF(AND(LEN(D42)=56,LEFT(D42,1)="G"),"VALID","CHECK"))</x:f>
      </x:c>
      <x:c r="O42" s="27" t="str">
        <x:f>IF(I42="","",IF(LEN(I42)=64,"VALID","CHECK"))</x:f>
      </x:c>
      <x:c r="P42" s="28" t="str">
        <x:f>IF(OR(K42="",K41=""),"",(K42-K41)*1440)</x:f>
      </x:c>
      <x:c r="Q42" s="27" t="str">
        <x:f>IF(P42="","",IF(AND(P42&gt;=2,P42&lt;=3),"YES","CHECK"))</x:f>
      </x:c>
      <x:c r="R42" s="27" t="str">
        <x:f>IF(D42="","",IF(AND(L42="YES",M42="YES",N42="VALID",O42="VALID"),"READY","INCOMPLETE"))</x:f>
      </x:c>
    </x:row>
    <x:row r="43" ht="22" customHeight="1">
      <x:c r="A43" s="19" t="str">
        <x:v>T-039</x:v>
      </x:c>
      <x:c r="B43" s="19"/>
      <x:c r="C43" s="19"/>
      <x:c r="D43" s="19"/>
      <x:c r="E43" s="19"/>
      <x:c r="F43" s="19"/>
      <x:c r="G43" s="19"/>
      <x:c r="H43" s="19"/>
      <x:c r="I43" s="19"/>
      <x:c r="J43" s="19"/>
      <x:c r="K43" s="20"/>
      <x:c r="L43" s="19"/>
      <x:c r="M43" s="27" t="str">
        <x:f>IF(D43="","",IF(COUNTIF($D$5:D43,D43)=1,"YES","DUPLICATE"))</x:f>
      </x:c>
      <x:c r="N43" s="27" t="str">
        <x:f>IF(D43="","",IF(AND(LEN(D43)=56,LEFT(D43,1)="G"),"VALID","CHECK"))</x:f>
      </x:c>
      <x:c r="O43" s="27" t="str">
        <x:f>IF(I43="","",IF(LEN(I43)=64,"VALID","CHECK"))</x:f>
      </x:c>
      <x:c r="P43" s="28" t="str">
        <x:f>IF(OR(K43="",K42=""),"",(K43-K42)*1440)</x:f>
      </x:c>
      <x:c r="Q43" s="27" t="str">
        <x:f>IF(P43="","",IF(AND(P43&gt;=2,P43&lt;=3),"YES","CHECK"))</x:f>
      </x:c>
      <x:c r="R43" s="27" t="str">
        <x:f>IF(D43="","",IF(AND(L43="YES",M43="YES",N43="VALID",O43="VALID"),"READY","INCOMPLETE"))</x:f>
      </x:c>
    </x:row>
    <x:row r="44" ht="22" customHeight="1">
      <x:c r="A44" s="19" t="str">
        <x:v>T-040</x:v>
      </x:c>
      <x:c r="B44" s="19"/>
      <x:c r="C44" s="19"/>
      <x:c r="D44" s="19"/>
      <x:c r="E44" s="19"/>
      <x:c r="F44" s="19"/>
      <x:c r="G44" s="19"/>
      <x:c r="H44" s="19"/>
      <x:c r="I44" s="19"/>
      <x:c r="J44" s="19"/>
      <x:c r="K44" s="20"/>
      <x:c r="L44" s="19"/>
      <x:c r="M44" s="27" t="str">
        <x:f>IF(D44="","",IF(COUNTIF($D$5:D44,D44)=1,"YES","DUPLICATE"))</x:f>
      </x:c>
      <x:c r="N44" s="27" t="str">
        <x:f>IF(D44="","",IF(AND(LEN(D44)=56,LEFT(D44,1)="G"),"VALID","CHECK"))</x:f>
      </x:c>
      <x:c r="O44" s="27" t="str">
        <x:f>IF(I44="","",IF(LEN(I44)=64,"VALID","CHECK"))</x:f>
      </x:c>
      <x:c r="P44" s="28" t="str">
        <x:f>IF(OR(K44="",K43=""),"",(K44-K43)*1440)</x:f>
      </x:c>
      <x:c r="Q44" s="27" t="str">
        <x:f>IF(P44="","",IF(AND(P44&gt;=2,P44&lt;=3),"YES","CHECK"))</x:f>
      </x:c>
      <x:c r="R44" s="27" t="str">
        <x:f>IF(D44="","",IF(AND(L44="YES",M44="YES",N44="VALID",O44="VALID"),"READY","INCOMPLETE"))</x:f>
      </x:c>
    </x:row>
    <x:row r="45" ht="22" customHeight="1">
      <x:c r="A45" s="19" t="str">
        <x:v>T-041</x:v>
      </x:c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  <x:c r="L45" s="19"/>
      <x:c r="M45" s="27" t="str">
        <x:f>IF(D45="","",IF(COUNTIF($D$5:D45,D45)=1,"YES","DUPLICATE"))</x:f>
      </x:c>
      <x:c r="N45" s="27" t="str">
        <x:f>IF(D45="","",IF(AND(LEN(D45)=56,LEFT(D45,1)="G"),"VALID","CHECK"))</x:f>
      </x:c>
      <x:c r="O45" s="27" t="str">
        <x:f>IF(I45="","",IF(LEN(I45)=64,"VALID","CHECK"))</x:f>
      </x:c>
      <x:c r="P45" s="28" t="str">
        <x:f>IF(OR(K45="",K44=""),"",(K45-K44)*1440)</x:f>
      </x:c>
      <x:c r="Q45" s="27" t="str">
        <x:f>IF(P45="","",IF(AND(P45&gt;=2,P45&lt;=3),"YES","CHECK"))</x:f>
      </x:c>
      <x:c r="R45" s="27" t="str">
        <x:f>IF(D45="","",IF(AND(L45="YES",M45="YES",N45="VALID",O45="VALID"),"READY","INCOMPLETE"))</x:f>
      </x:c>
    </x:row>
    <x:row r="46" ht="22" customHeight="1">
      <x:c r="A46" s="19" t="str">
        <x:v>T-042</x:v>
      </x:c>
      <x:c r="B46" s="19"/>
      <x:c r="C46" s="19"/>
      <x:c r="D46" s="19"/>
      <x:c r="E46" s="19"/>
      <x:c r="F46" s="19"/>
      <x:c r="G46" s="19"/>
      <x:c r="H46" s="19"/>
      <x:c r="I46" s="19"/>
      <x:c r="J46" s="19"/>
      <x:c r="K46" s="20"/>
      <x:c r="L46" s="19"/>
      <x:c r="M46" s="27" t="str">
        <x:f>IF(D46="","",IF(COUNTIF($D$5:D46,D46)=1,"YES","DUPLICATE"))</x:f>
      </x:c>
      <x:c r="N46" s="27" t="str">
        <x:f>IF(D46="","",IF(AND(LEN(D46)=56,LEFT(D46,1)="G"),"VALID","CHECK"))</x:f>
      </x:c>
      <x:c r="O46" s="27" t="str">
        <x:f>IF(I46="","",IF(LEN(I46)=64,"VALID","CHECK"))</x:f>
      </x:c>
      <x:c r="P46" s="28" t="str">
        <x:f>IF(OR(K46="",K45=""),"",(K46-K45)*1440)</x:f>
      </x:c>
      <x:c r="Q46" s="27" t="str">
        <x:f>IF(P46="","",IF(AND(P46&gt;=2,P46&lt;=3),"YES","CHECK"))</x:f>
      </x:c>
      <x:c r="R46" s="27" t="str">
        <x:f>IF(D46="","",IF(AND(L46="YES",M46="YES",N46="VALID",O46="VALID"),"READY","INCOMPLETE"))</x:f>
      </x:c>
    </x:row>
    <x:row r="47" ht="22" customHeight="1">
      <x:c r="A47" s="19" t="str">
        <x:v>T-043</x:v>
      </x:c>
      <x:c r="B47" s="19"/>
      <x:c r="C47" s="19"/>
      <x:c r="D47" s="19"/>
      <x:c r="E47" s="19"/>
      <x:c r="F47" s="19"/>
      <x:c r="G47" s="19"/>
      <x:c r="H47" s="19"/>
      <x:c r="I47" s="19"/>
      <x:c r="J47" s="19"/>
      <x:c r="K47" s="20"/>
      <x:c r="L47" s="19"/>
      <x:c r="M47" s="27" t="str">
        <x:f>IF(D47="","",IF(COUNTIF($D$5:D47,D47)=1,"YES","DUPLICATE"))</x:f>
      </x:c>
      <x:c r="N47" s="27" t="str">
        <x:f>IF(D47="","",IF(AND(LEN(D47)=56,LEFT(D47,1)="G"),"VALID","CHECK"))</x:f>
      </x:c>
      <x:c r="O47" s="27" t="str">
        <x:f>IF(I47="","",IF(LEN(I47)=64,"VALID","CHECK"))</x:f>
      </x:c>
      <x:c r="P47" s="28" t="str">
        <x:f>IF(OR(K47="",K46=""),"",(K47-K46)*1440)</x:f>
      </x:c>
      <x:c r="Q47" s="27" t="str">
        <x:f>IF(P47="","",IF(AND(P47&gt;=2,P47&lt;=3),"YES","CHECK"))</x:f>
      </x:c>
      <x:c r="R47" s="27" t="str">
        <x:f>IF(D47="","",IF(AND(L47="YES",M47="YES",N47="VALID",O47="VALID"),"READY","INCOMPLETE"))</x:f>
      </x:c>
    </x:row>
    <x:row r="48" ht="22" customHeight="1">
      <x:c r="A48" s="19" t="str">
        <x:v>T-044</x:v>
      </x:c>
      <x:c r="B48" s="19"/>
      <x:c r="C48" s="19"/>
      <x:c r="D48" s="19"/>
      <x:c r="E48" s="19"/>
      <x:c r="F48" s="19"/>
      <x:c r="G48" s="19"/>
      <x:c r="H48" s="19"/>
      <x:c r="I48" s="19"/>
      <x:c r="J48" s="19"/>
      <x:c r="K48" s="20"/>
      <x:c r="L48" s="19"/>
      <x:c r="M48" s="27" t="str">
        <x:f>IF(D48="","",IF(COUNTIF($D$5:D48,D48)=1,"YES","DUPLICATE"))</x:f>
      </x:c>
      <x:c r="N48" s="27" t="str">
        <x:f>IF(D48="","",IF(AND(LEN(D48)=56,LEFT(D48,1)="G"),"VALID","CHECK"))</x:f>
      </x:c>
      <x:c r="O48" s="27" t="str">
        <x:f>IF(I48="","",IF(LEN(I48)=64,"VALID","CHECK"))</x:f>
      </x:c>
      <x:c r="P48" s="28" t="str">
        <x:f>IF(OR(K48="",K47=""),"",(K48-K47)*1440)</x:f>
      </x:c>
      <x:c r="Q48" s="27" t="str">
        <x:f>IF(P48="","",IF(AND(P48&gt;=2,P48&lt;=3),"YES","CHECK"))</x:f>
      </x:c>
      <x:c r="R48" s="27" t="str">
        <x:f>IF(D48="","",IF(AND(L48="YES",M48="YES",N48="VALID",O48="VALID"),"READY","INCOMPLETE"))</x:f>
      </x:c>
    </x:row>
    <x:row r="49" ht="22" customHeight="1">
      <x:c r="A49" s="19" t="str">
        <x:v>T-045</x:v>
      </x:c>
      <x:c r="B49" s="19"/>
      <x:c r="C49" s="19"/>
      <x:c r="D49" s="19"/>
      <x:c r="E49" s="19"/>
      <x:c r="F49" s="19"/>
      <x:c r="G49" s="19"/>
      <x:c r="H49" s="19"/>
      <x:c r="I49" s="19"/>
      <x:c r="J49" s="19"/>
      <x:c r="K49" s="20"/>
      <x:c r="L49" s="19"/>
      <x:c r="M49" s="27" t="str">
        <x:f>IF(D49="","",IF(COUNTIF($D$5:D49,D49)=1,"YES","DUPLICATE"))</x:f>
      </x:c>
      <x:c r="N49" s="27" t="str">
        <x:f>IF(D49="","",IF(AND(LEN(D49)=56,LEFT(D49,1)="G"),"VALID","CHECK"))</x:f>
      </x:c>
      <x:c r="O49" s="27" t="str">
        <x:f>IF(I49="","",IF(LEN(I49)=64,"VALID","CHECK"))</x:f>
      </x:c>
      <x:c r="P49" s="28" t="str">
        <x:f>IF(OR(K49="",K48=""),"",(K49-K48)*1440)</x:f>
      </x:c>
      <x:c r="Q49" s="27" t="str">
        <x:f>IF(P49="","",IF(AND(P49&gt;=2,P49&lt;=3),"YES","CHECK"))</x:f>
      </x:c>
      <x:c r="R49" s="27" t="str">
        <x:f>IF(D49="","",IF(AND(L49="YES",M49="YES",N49="VALID",O49="VALID"),"READY","INCOMPLETE"))</x:f>
      </x:c>
    </x:row>
    <x:row r="50" ht="22" customHeight="1">
      <x:c r="A50" s="19" t="str">
        <x:v>T-046</x:v>
      </x:c>
      <x:c r="B50" s="19"/>
      <x:c r="C50" s="19"/>
      <x:c r="D50" s="19"/>
      <x:c r="E50" s="19"/>
      <x:c r="F50" s="19"/>
      <x:c r="G50" s="19"/>
      <x:c r="H50" s="19"/>
      <x:c r="I50" s="19"/>
      <x:c r="J50" s="19"/>
      <x:c r="K50" s="20"/>
      <x:c r="L50" s="19"/>
      <x:c r="M50" s="27" t="str">
        <x:f>IF(D50="","",IF(COUNTIF($D$5:D50,D50)=1,"YES","DUPLICATE"))</x:f>
      </x:c>
      <x:c r="N50" s="27" t="str">
        <x:f>IF(D50="","",IF(AND(LEN(D50)=56,LEFT(D50,1)="G"),"VALID","CHECK"))</x:f>
      </x:c>
      <x:c r="O50" s="27" t="str">
        <x:f>IF(I50="","",IF(LEN(I50)=64,"VALID","CHECK"))</x:f>
      </x:c>
      <x:c r="P50" s="28" t="str">
        <x:f>IF(OR(K50="",K49=""),"",(K50-K49)*1440)</x:f>
      </x:c>
      <x:c r="Q50" s="27" t="str">
        <x:f>IF(P50="","",IF(AND(P50&gt;=2,P50&lt;=3),"YES","CHECK"))</x:f>
      </x:c>
      <x:c r="R50" s="27" t="str">
        <x:f>IF(D50="","",IF(AND(L50="YES",M50="YES",N50="VALID",O50="VALID"),"READY","INCOMPLETE"))</x:f>
      </x:c>
    </x:row>
    <x:row r="51" ht="22" customHeight="1">
      <x:c r="A51" s="19" t="str">
        <x:v>T-047</x:v>
      </x:c>
      <x:c r="B51" s="19"/>
      <x:c r="C51" s="19"/>
      <x:c r="D51" s="19"/>
      <x:c r="E51" s="19"/>
      <x:c r="F51" s="19"/>
      <x:c r="G51" s="19"/>
      <x:c r="H51" s="19"/>
      <x:c r="I51" s="19"/>
      <x:c r="J51" s="19"/>
      <x:c r="K51" s="20"/>
      <x:c r="L51" s="19"/>
      <x:c r="M51" s="27" t="str">
        <x:f>IF(D51="","",IF(COUNTIF($D$5:D51,D51)=1,"YES","DUPLICATE"))</x:f>
      </x:c>
      <x:c r="N51" s="27" t="str">
        <x:f>IF(D51="","",IF(AND(LEN(D51)=56,LEFT(D51,1)="G"),"VALID","CHECK"))</x:f>
      </x:c>
      <x:c r="O51" s="27" t="str">
        <x:f>IF(I51="","",IF(LEN(I51)=64,"VALID","CHECK"))</x:f>
      </x:c>
      <x:c r="P51" s="28" t="str">
        <x:f>IF(OR(K51="",K50=""),"",(K51-K50)*1440)</x:f>
      </x:c>
      <x:c r="Q51" s="27" t="str">
        <x:f>IF(P51="","",IF(AND(P51&gt;=2,P51&lt;=3),"YES","CHECK"))</x:f>
      </x:c>
      <x:c r="R51" s="27" t="str">
        <x:f>IF(D51="","",IF(AND(L51="YES",M51="YES",N51="VALID",O51="VALID"),"READY","INCOMPLETE"))</x:f>
      </x:c>
    </x:row>
    <x:row r="52" ht="22" customHeight="1">
      <x:c r="A52" s="19" t="str">
        <x:v>T-048</x:v>
      </x:c>
      <x:c r="B52" s="19"/>
      <x:c r="C52" s="19"/>
      <x:c r="D52" s="19"/>
      <x:c r="E52" s="19"/>
      <x:c r="F52" s="19"/>
      <x:c r="G52" s="19"/>
      <x:c r="H52" s="19"/>
      <x:c r="I52" s="19"/>
      <x:c r="J52" s="19"/>
      <x:c r="K52" s="20"/>
      <x:c r="L52" s="19"/>
      <x:c r="M52" s="27" t="str">
        <x:f>IF(D52="","",IF(COUNTIF($D$5:D52,D52)=1,"YES","DUPLICATE"))</x:f>
      </x:c>
      <x:c r="N52" s="27" t="str">
        <x:f>IF(D52="","",IF(AND(LEN(D52)=56,LEFT(D52,1)="G"),"VALID","CHECK"))</x:f>
      </x:c>
      <x:c r="O52" s="27" t="str">
        <x:f>IF(I52="","",IF(LEN(I52)=64,"VALID","CHECK"))</x:f>
      </x:c>
      <x:c r="P52" s="28" t="str">
        <x:f>IF(OR(K52="",K51=""),"",(K52-K51)*1440)</x:f>
      </x:c>
      <x:c r="Q52" s="27" t="str">
        <x:f>IF(P52="","",IF(AND(P52&gt;=2,P52&lt;=3),"YES","CHECK"))</x:f>
      </x:c>
      <x:c r="R52" s="27" t="str">
        <x:f>IF(D52="","",IF(AND(L52="YES",M52="YES",N52="VALID",O52="VALID"),"READY","INCOMPLETE"))</x:f>
      </x:c>
    </x:row>
    <x:row r="53" ht="22" customHeight="1">
      <x:c r="A53" s="19" t="str">
        <x:v>T-049</x:v>
      </x:c>
      <x:c r="B53" s="19"/>
      <x:c r="C53" s="19"/>
      <x:c r="D53" s="19"/>
      <x:c r="E53" s="19"/>
      <x:c r="F53" s="19"/>
      <x:c r="G53" s="19"/>
      <x:c r="H53" s="19"/>
      <x:c r="I53" s="19"/>
      <x:c r="J53" s="19"/>
      <x:c r="K53" s="20"/>
      <x:c r="L53" s="19"/>
      <x:c r="M53" s="27" t="str">
        <x:f>IF(D53="","",IF(COUNTIF($D$5:D53,D53)=1,"YES","DUPLICATE"))</x:f>
      </x:c>
      <x:c r="N53" s="27" t="str">
        <x:f>IF(D53="","",IF(AND(LEN(D53)=56,LEFT(D53,1)="G"),"VALID","CHECK"))</x:f>
      </x:c>
      <x:c r="O53" s="27" t="str">
        <x:f>IF(I53="","",IF(LEN(I53)=64,"VALID","CHECK"))</x:f>
      </x:c>
      <x:c r="P53" s="28" t="str">
        <x:f>IF(OR(K53="",K52=""),"",(K53-K52)*1440)</x:f>
      </x:c>
      <x:c r="Q53" s="27" t="str">
        <x:f>IF(P53="","",IF(AND(P53&gt;=2,P53&lt;=3),"YES","CHECK"))</x:f>
      </x:c>
      <x:c r="R53" s="27" t="str">
        <x:f>IF(D53="","",IF(AND(L53="YES",M53="YES",N53="VALID",O53="VALID"),"READY","INCOMPLETE"))</x:f>
      </x:c>
    </x:row>
    <x:row r="54" ht="22" customHeight="1">
      <x:c r="A54" s="22" t="str">
        <x:v>T-050</x:v>
      </x:c>
      <x:c r="B54" s="22"/>
      <x:c r="C54" s="22"/>
      <x:c r="D54" s="22"/>
      <x:c r="E54" s="22"/>
      <x:c r="F54" s="22"/>
      <x:c r="G54" s="22"/>
      <x:c r="H54" s="22"/>
      <x:c r="I54" s="22"/>
      <x:c r="J54" s="22"/>
      <x:c r="K54" s="23"/>
      <x:c r="L54" s="22"/>
      <x:c r="M54" s="29" t="str">
        <x:f>IF(D54="","",IF(COUNTIF($D$5:D54,D54)=1,"YES","DUPLICATE"))</x:f>
      </x:c>
      <x:c r="N54" s="29" t="str">
        <x:f>IF(D54="","",IF(AND(LEN(D54)=56,LEFT(D54,1)="G"),"VALID","CHECK"))</x:f>
      </x:c>
      <x:c r="O54" s="29" t="str">
        <x:f>IF(I54="","",IF(LEN(I54)=64,"VALID","CHECK"))</x:f>
      </x:c>
      <x:c r="P54" s="30" t="str">
        <x:f>IF(OR(K54="",K53=""),"",(K54-K53)*1440)</x:f>
      </x:c>
      <x:c r="Q54" s="29" t="str">
        <x:f>IF(P54="","",IF(AND(P54&gt;=2,P54&lt;=3),"YES","CHECK"))</x:f>
      </x:c>
      <x:c r="R54" s="29" t="str">
        <x:f>IF(D54="","",IF(AND(L54="YES",M54="YES",N54="VALID",O54="VALID"),"READY","INCOMPLETE"))</x:f>
      </x:c>
    </x:row>
  </x:sheetData>
  <x:mergeCells>
    <x:mergeCell ref="A1:R1"/>
    <x:mergeCell ref="A2:R2"/>
  </x:mergeCells>
  <x:dataValidations count="4">
    <x:dataValidation type="whole" operator="between" sqref="E5:E54">
      <x:formula1>1</x:formula1>
      <x:formula2>5</x:formula2>
    </x:dataValidation>
    <x:dataValidation type="list" sqref="F5:F54">
      <x:formula1>"Wallet,Funding,Navigation,Voting,Proof,Performance,Other"</x:formula1>
    </x:dataValidation>
    <x:dataValidation type="list" sqref="H5:H54">
      <x:formula1>"Faucet claim,Create proposal,Vote,Delegate,Treasury action"</x:formula1>
    </x:dataValidation>
    <x:dataValidation type="list" sqref="L5:L54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10" hidden="0" customWidth="1"/>
    <x:col min="4" max="4" width="18" hidden="0" customWidth="1"/>
    <x:col min="5" max="5" width="18" hidden="0" customWidth="1"/>
    <x:col min="6" max="6" width="24" hidden="0" customWidth="1"/>
    <x:col min="7" max="7" width="30" hidden="0" customWidth="1"/>
    <x:col min="8" max="8" width="20" hidden="0" customWidth="1"/>
    <x:col min="9" max="9" width="16" hidden="0" customWidth="1"/>
    <x:col min="10" max="10" width="14" hidden="0" customWidth="1"/>
    <x:col min="11" max="11" width="16" hidden="0" customWidth="1"/>
    <x:col min="12" max="12" width="18" hidden="0" customWidth="1"/>
  </x:cols>
  <x:sheetData>
    <x:row r="1" ht="22" customHeight="1">
      <x:c r="A1" s="4" t="str">
        <x:v>PollChain Level 5 — Public Transaction Evidence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2" customHeight="1">
      <x:c r="A2" s="7" t="str">
        <x:v>Formula-backed view. Rows appear as the private intake sheet is completed; names and emails are intentionally excluded.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 ht="22" customHeight="1"/>
    <x:row r="4" ht="40" customHeight="1">
      <x:c r="A4" s="31" t="str">
        <x:v>Tester ID</x:v>
      </x:c>
      <x:c r="B4" s="31" t="str">
        <x:v>Wallet Address</x:v>
      </x:c>
      <x:c r="C4" s="31" t="str">
        <x:v>Rating</x:v>
      </x:c>
      <x:c r="D4" s="31" t="str">
        <x:v>Feedback Theme</x:v>
      </x:c>
      <x:c r="E4" s="31" t="str">
        <x:v>Interaction Type</x:v>
      </x:c>
      <x:c r="F4" s="31" t="str">
        <x:v>Transaction Hash</x:v>
      </x:c>
      <x:c r="G4" s="31" t="str">
        <x:v>StellarExpert URL</x:v>
      </x:c>
      <x:c r="H4" s="31" t="str">
        <x:v>Interaction Time</x:v>
      </x:c>
      <x:c r="I4" s="31" t="str">
        <x:v>Unique Wallet</x:v>
      </x:c>
      <x:c r="J4" s="31" t="str">
        <x:v>Interval (min)</x:v>
      </x:c>
      <x:c r="K4" s="31" t="str">
        <x:v>Interval Check</x:v>
      </x:c>
      <x:c r="L4" s="31" t="str">
        <x:v>Evidence Status</x:v>
      </x:c>
    </x:row>
    <x:row r="5" ht="22" customHeight="1">
      <x:c r="A5" s="16" t="str">
        <x:f>'Private Intake'!A5</x:f>
        <x:v>T-001</x:v>
      </x:c>
      <x:c r="B5" s="16" t="str">
        <x:f>IF('Private Intake'!D5="","",'Private Intake'!D5)</x:f>
      </x:c>
      <x:c r="C5" s="16" t="str">
        <x:f>IF('Private Intake'!D5="","",'Private Intake'!E5)</x:f>
      </x:c>
      <x:c r="D5" s="16" t="str">
        <x:f>IF('Private Intake'!D5="","",'Private Intake'!F5)</x:f>
      </x:c>
      <x:c r="E5" s="16" t="str">
        <x:f>IF('Private Intake'!D5="","",'Private Intake'!H5)</x:f>
      </x:c>
      <x:c r="F5" s="16" t="str">
        <x:f>IF('Private Intake'!D5="","",'Private Intake'!I5)</x:f>
      </x:c>
      <x:c r="G5" s="16" t="str">
        <x:f>IF('Private Intake'!D5="","",'Private Intake'!J5)</x:f>
      </x:c>
      <x:c r="H5" s="17" t="str">
        <x:f>IF('Private Intake'!D5="","",'Private Intake'!K5)</x:f>
      </x:c>
      <x:c r="I5" s="16" t="str">
        <x:f>IF('Private Intake'!D5="","",'Private Intake'!M5)</x:f>
      </x:c>
      <x:c r="J5" s="18" t="str">
        <x:f>IF('Private Intake'!D5="","",'Private Intake'!P5)</x:f>
      </x:c>
      <x:c r="K5" s="16" t="str">
        <x:f>IF('Private Intake'!D5="","",'Private Intake'!Q5)</x:f>
      </x:c>
      <x:c r="L5" s="16" t="str">
        <x:f>IF('Private Intake'!D5="","",'Private Intake'!R5)</x:f>
      </x:c>
    </x:row>
    <x:row r="6" ht="22" customHeight="1">
      <x:c r="A6" s="19" t="str">
        <x:f>'Private Intake'!A6</x:f>
        <x:v>T-002</x:v>
      </x:c>
      <x:c r="B6" s="19" t="str">
        <x:f>IF('Private Intake'!D6="","",'Private Intake'!D6)</x:f>
      </x:c>
      <x:c r="C6" s="19" t="str">
        <x:f>IF('Private Intake'!D6="","",'Private Intake'!E6)</x:f>
      </x:c>
      <x:c r="D6" s="19" t="str">
        <x:f>IF('Private Intake'!D6="","",'Private Intake'!F6)</x:f>
      </x:c>
      <x:c r="E6" s="19" t="str">
        <x:f>IF('Private Intake'!D6="","",'Private Intake'!H6)</x:f>
      </x:c>
      <x:c r="F6" s="19" t="str">
        <x:f>IF('Private Intake'!D6="","",'Private Intake'!I6)</x:f>
      </x:c>
      <x:c r="G6" s="19" t="str">
        <x:f>IF('Private Intake'!D6="","",'Private Intake'!J6)</x:f>
      </x:c>
      <x:c r="H6" s="20" t="str">
        <x:f>IF('Private Intake'!D6="","",'Private Intake'!K6)</x:f>
      </x:c>
      <x:c r="I6" s="19" t="str">
        <x:f>IF('Private Intake'!D6="","",'Private Intake'!M6)</x:f>
      </x:c>
      <x:c r="J6" s="21" t="str">
        <x:f>IF('Private Intake'!D6="","",'Private Intake'!P6)</x:f>
      </x:c>
      <x:c r="K6" s="19" t="str">
        <x:f>IF('Private Intake'!D6="","",'Private Intake'!Q6)</x:f>
      </x:c>
      <x:c r="L6" s="19" t="str">
        <x:f>IF('Private Intake'!D6="","",'Private Intake'!R6)</x:f>
      </x:c>
    </x:row>
    <x:row r="7" ht="22" customHeight="1">
      <x:c r="A7" s="19" t="str">
        <x:f>'Private Intake'!A7</x:f>
        <x:v>T-003</x:v>
      </x:c>
      <x:c r="B7" s="19" t="str">
        <x:f>IF('Private Intake'!D7="","",'Private Intake'!D7)</x:f>
      </x:c>
      <x:c r="C7" s="19" t="str">
        <x:f>IF('Private Intake'!D7="","",'Private Intake'!E7)</x:f>
      </x:c>
      <x:c r="D7" s="19" t="str">
        <x:f>IF('Private Intake'!D7="","",'Private Intake'!F7)</x:f>
      </x:c>
      <x:c r="E7" s="19" t="str">
        <x:f>IF('Private Intake'!D7="","",'Private Intake'!H7)</x:f>
      </x:c>
      <x:c r="F7" s="19" t="str">
        <x:f>IF('Private Intake'!D7="","",'Private Intake'!I7)</x:f>
      </x:c>
      <x:c r="G7" s="19" t="str">
        <x:f>IF('Private Intake'!D7="","",'Private Intake'!J7)</x:f>
      </x:c>
      <x:c r="H7" s="20" t="str">
        <x:f>IF('Private Intake'!D7="","",'Private Intake'!K7)</x:f>
      </x:c>
      <x:c r="I7" s="19" t="str">
        <x:f>IF('Private Intake'!D7="","",'Private Intake'!M7)</x:f>
      </x:c>
      <x:c r="J7" s="21" t="str">
        <x:f>IF('Private Intake'!D7="","",'Private Intake'!P7)</x:f>
      </x:c>
      <x:c r="K7" s="19" t="str">
        <x:f>IF('Private Intake'!D7="","",'Private Intake'!Q7)</x:f>
      </x:c>
      <x:c r="L7" s="19" t="str">
        <x:f>IF('Private Intake'!D7="","",'Private Intake'!R7)</x:f>
      </x:c>
    </x:row>
    <x:row r="8" ht="22" customHeight="1">
      <x:c r="A8" s="19" t="str">
        <x:f>'Private Intake'!A8</x:f>
        <x:v>T-004</x:v>
      </x:c>
      <x:c r="B8" s="19" t="str">
        <x:f>IF('Private Intake'!D8="","",'Private Intake'!D8)</x:f>
      </x:c>
      <x:c r="C8" s="19" t="str">
        <x:f>IF('Private Intake'!D8="","",'Private Intake'!E8)</x:f>
      </x:c>
      <x:c r="D8" s="19" t="str">
        <x:f>IF('Private Intake'!D8="","",'Private Intake'!F8)</x:f>
      </x:c>
      <x:c r="E8" s="19" t="str">
        <x:f>IF('Private Intake'!D8="","",'Private Intake'!H8)</x:f>
      </x:c>
      <x:c r="F8" s="19" t="str">
        <x:f>IF('Private Intake'!D8="","",'Private Intake'!I8)</x:f>
      </x:c>
      <x:c r="G8" s="19" t="str">
        <x:f>IF('Private Intake'!D8="","",'Private Intake'!J8)</x:f>
      </x:c>
      <x:c r="H8" s="20" t="str">
        <x:f>IF('Private Intake'!D8="","",'Private Intake'!K8)</x:f>
      </x:c>
      <x:c r="I8" s="19" t="str">
        <x:f>IF('Private Intake'!D8="","",'Private Intake'!M8)</x:f>
      </x:c>
      <x:c r="J8" s="21" t="str">
        <x:f>IF('Private Intake'!D8="","",'Private Intake'!P8)</x:f>
      </x:c>
      <x:c r="K8" s="19" t="str">
        <x:f>IF('Private Intake'!D8="","",'Private Intake'!Q8)</x:f>
      </x:c>
      <x:c r="L8" s="19" t="str">
        <x:f>IF('Private Intake'!D8="","",'Private Intake'!R8)</x:f>
      </x:c>
    </x:row>
    <x:row r="9" ht="22" customHeight="1">
      <x:c r="A9" s="19" t="str">
        <x:f>'Private Intake'!A9</x:f>
        <x:v>T-005</x:v>
      </x:c>
      <x:c r="B9" s="19" t="str">
        <x:f>IF('Private Intake'!D9="","",'Private Intake'!D9)</x:f>
      </x:c>
      <x:c r="C9" s="19" t="str">
        <x:f>IF('Private Intake'!D9="","",'Private Intake'!E9)</x:f>
      </x:c>
      <x:c r="D9" s="19" t="str">
        <x:f>IF('Private Intake'!D9="","",'Private Intake'!F9)</x:f>
      </x:c>
      <x:c r="E9" s="19" t="str">
        <x:f>IF('Private Intake'!D9="","",'Private Intake'!H9)</x:f>
      </x:c>
      <x:c r="F9" s="19" t="str">
        <x:f>IF('Private Intake'!D9="","",'Private Intake'!I9)</x:f>
      </x:c>
      <x:c r="G9" s="19" t="str">
        <x:f>IF('Private Intake'!D9="","",'Private Intake'!J9)</x:f>
      </x:c>
      <x:c r="H9" s="20" t="str">
        <x:f>IF('Private Intake'!D9="","",'Private Intake'!K9)</x:f>
      </x:c>
      <x:c r="I9" s="19" t="str">
        <x:f>IF('Private Intake'!D9="","",'Private Intake'!M9)</x:f>
      </x:c>
      <x:c r="J9" s="21" t="str">
        <x:f>IF('Private Intake'!D9="","",'Private Intake'!P9)</x:f>
      </x:c>
      <x:c r="K9" s="19" t="str">
        <x:f>IF('Private Intake'!D9="","",'Private Intake'!Q9)</x:f>
      </x:c>
      <x:c r="L9" s="19" t="str">
        <x:f>IF('Private Intake'!D9="","",'Private Intake'!R9)</x:f>
      </x:c>
    </x:row>
    <x:row r="10" ht="22" customHeight="1">
      <x:c r="A10" s="19" t="str">
        <x:f>'Private Intake'!A10</x:f>
        <x:v>T-006</x:v>
      </x:c>
      <x:c r="B10" s="19" t="str">
        <x:f>IF('Private Intake'!D10="","",'Private Intake'!D10)</x:f>
      </x:c>
      <x:c r="C10" s="19" t="str">
        <x:f>IF('Private Intake'!D10="","",'Private Intake'!E10)</x:f>
      </x:c>
      <x:c r="D10" s="19" t="str">
        <x:f>IF('Private Intake'!D10="","",'Private Intake'!F10)</x:f>
      </x:c>
      <x:c r="E10" s="19" t="str">
        <x:f>IF('Private Intake'!D10="","",'Private Intake'!H10)</x:f>
      </x:c>
      <x:c r="F10" s="19" t="str">
        <x:f>IF('Private Intake'!D10="","",'Private Intake'!I10)</x:f>
      </x:c>
      <x:c r="G10" s="19" t="str">
        <x:f>IF('Private Intake'!D10="","",'Private Intake'!J10)</x:f>
      </x:c>
      <x:c r="H10" s="20" t="str">
        <x:f>IF('Private Intake'!D10="","",'Private Intake'!K10)</x:f>
      </x:c>
      <x:c r="I10" s="19" t="str">
        <x:f>IF('Private Intake'!D10="","",'Private Intake'!M10)</x:f>
      </x:c>
      <x:c r="J10" s="21" t="str">
        <x:f>IF('Private Intake'!D10="","",'Private Intake'!P10)</x:f>
      </x:c>
      <x:c r="K10" s="19" t="str">
        <x:f>IF('Private Intake'!D10="","",'Private Intake'!Q10)</x:f>
      </x:c>
      <x:c r="L10" s="19" t="str">
        <x:f>IF('Private Intake'!D10="","",'Private Intake'!R10)</x:f>
      </x:c>
    </x:row>
    <x:row r="11" ht="22" customHeight="1">
      <x:c r="A11" s="19" t="str">
        <x:f>'Private Intake'!A11</x:f>
        <x:v>T-007</x:v>
      </x:c>
      <x:c r="B11" s="19" t="str">
        <x:f>IF('Private Intake'!D11="","",'Private Intake'!D11)</x:f>
      </x:c>
      <x:c r="C11" s="19" t="str">
        <x:f>IF('Private Intake'!D11="","",'Private Intake'!E11)</x:f>
      </x:c>
      <x:c r="D11" s="19" t="str">
        <x:f>IF('Private Intake'!D11="","",'Private Intake'!F11)</x:f>
      </x:c>
      <x:c r="E11" s="19" t="str">
        <x:f>IF('Private Intake'!D11="","",'Private Intake'!H11)</x:f>
      </x:c>
      <x:c r="F11" s="19" t="str">
        <x:f>IF('Private Intake'!D11="","",'Private Intake'!I11)</x:f>
      </x:c>
      <x:c r="G11" s="19" t="str">
        <x:f>IF('Private Intake'!D11="","",'Private Intake'!J11)</x:f>
      </x:c>
      <x:c r="H11" s="20" t="str">
        <x:f>IF('Private Intake'!D11="","",'Private Intake'!K11)</x:f>
      </x:c>
      <x:c r="I11" s="19" t="str">
        <x:f>IF('Private Intake'!D11="","",'Private Intake'!M11)</x:f>
      </x:c>
      <x:c r="J11" s="21" t="str">
        <x:f>IF('Private Intake'!D11="","",'Private Intake'!P11)</x:f>
      </x:c>
      <x:c r="K11" s="19" t="str">
        <x:f>IF('Private Intake'!D11="","",'Private Intake'!Q11)</x:f>
      </x:c>
      <x:c r="L11" s="19" t="str">
        <x:f>IF('Private Intake'!D11="","",'Private Intake'!R11)</x:f>
      </x:c>
    </x:row>
    <x:row r="12" ht="22" customHeight="1">
      <x:c r="A12" s="19" t="str">
        <x:f>'Private Intake'!A12</x:f>
        <x:v>T-008</x:v>
      </x:c>
      <x:c r="B12" s="19" t="str">
        <x:f>IF('Private Intake'!D12="","",'Private Intake'!D12)</x:f>
      </x:c>
      <x:c r="C12" s="19" t="str">
        <x:f>IF('Private Intake'!D12="","",'Private Intake'!E12)</x:f>
      </x:c>
      <x:c r="D12" s="19" t="str">
        <x:f>IF('Private Intake'!D12="","",'Private Intake'!F12)</x:f>
      </x:c>
      <x:c r="E12" s="19" t="str">
        <x:f>IF('Private Intake'!D12="","",'Private Intake'!H12)</x:f>
      </x:c>
      <x:c r="F12" s="19" t="str">
        <x:f>IF('Private Intake'!D12="","",'Private Intake'!I12)</x:f>
      </x:c>
      <x:c r="G12" s="19" t="str">
        <x:f>IF('Private Intake'!D12="","",'Private Intake'!J12)</x:f>
      </x:c>
      <x:c r="H12" s="20" t="str">
        <x:f>IF('Private Intake'!D12="","",'Private Intake'!K12)</x:f>
      </x:c>
      <x:c r="I12" s="19" t="str">
        <x:f>IF('Private Intake'!D12="","",'Private Intake'!M12)</x:f>
      </x:c>
      <x:c r="J12" s="21" t="str">
        <x:f>IF('Private Intake'!D12="","",'Private Intake'!P12)</x:f>
      </x:c>
      <x:c r="K12" s="19" t="str">
        <x:f>IF('Private Intake'!D12="","",'Private Intake'!Q12)</x:f>
      </x:c>
      <x:c r="L12" s="19" t="str">
        <x:f>IF('Private Intake'!D12="","",'Private Intake'!R12)</x:f>
      </x:c>
    </x:row>
    <x:row r="13" ht="22" customHeight="1">
      <x:c r="A13" s="19" t="str">
        <x:f>'Private Intake'!A13</x:f>
        <x:v>T-009</x:v>
      </x:c>
      <x:c r="B13" s="19" t="str">
        <x:f>IF('Private Intake'!D13="","",'Private Intake'!D13)</x:f>
      </x:c>
      <x:c r="C13" s="19" t="str">
        <x:f>IF('Private Intake'!D13="","",'Private Intake'!E13)</x:f>
      </x:c>
      <x:c r="D13" s="19" t="str">
        <x:f>IF('Private Intake'!D13="","",'Private Intake'!F13)</x:f>
      </x:c>
      <x:c r="E13" s="19" t="str">
        <x:f>IF('Private Intake'!D13="","",'Private Intake'!H13)</x:f>
      </x:c>
      <x:c r="F13" s="19" t="str">
        <x:f>IF('Private Intake'!D13="","",'Private Intake'!I13)</x:f>
      </x:c>
      <x:c r="G13" s="19" t="str">
        <x:f>IF('Private Intake'!D13="","",'Private Intake'!J13)</x:f>
      </x:c>
      <x:c r="H13" s="20" t="str">
        <x:f>IF('Private Intake'!D13="","",'Private Intake'!K13)</x:f>
      </x:c>
      <x:c r="I13" s="19" t="str">
        <x:f>IF('Private Intake'!D13="","",'Private Intake'!M13)</x:f>
      </x:c>
      <x:c r="J13" s="21" t="str">
        <x:f>IF('Private Intake'!D13="","",'Private Intake'!P13)</x:f>
      </x:c>
      <x:c r="K13" s="19" t="str">
        <x:f>IF('Private Intake'!D13="","",'Private Intake'!Q13)</x:f>
      </x:c>
      <x:c r="L13" s="19" t="str">
        <x:f>IF('Private Intake'!D13="","",'Private Intake'!R13)</x:f>
      </x:c>
    </x:row>
    <x:row r="14" ht="22" customHeight="1">
      <x:c r="A14" s="19" t="str">
        <x:f>'Private Intake'!A14</x:f>
        <x:v>T-010</x:v>
      </x:c>
      <x:c r="B14" s="19" t="str">
        <x:f>IF('Private Intake'!D14="","",'Private Intake'!D14)</x:f>
      </x:c>
      <x:c r="C14" s="19" t="str">
        <x:f>IF('Private Intake'!D14="","",'Private Intake'!E14)</x:f>
      </x:c>
      <x:c r="D14" s="19" t="str">
        <x:f>IF('Private Intake'!D14="","",'Private Intake'!F14)</x:f>
      </x:c>
      <x:c r="E14" s="19" t="str">
        <x:f>IF('Private Intake'!D14="","",'Private Intake'!H14)</x:f>
      </x:c>
      <x:c r="F14" s="19" t="str">
        <x:f>IF('Private Intake'!D14="","",'Private Intake'!I14)</x:f>
      </x:c>
      <x:c r="G14" s="19" t="str">
        <x:f>IF('Private Intake'!D14="","",'Private Intake'!J14)</x:f>
      </x:c>
      <x:c r="H14" s="20" t="str">
        <x:f>IF('Private Intake'!D14="","",'Private Intake'!K14)</x:f>
      </x:c>
      <x:c r="I14" s="19" t="str">
        <x:f>IF('Private Intake'!D14="","",'Private Intake'!M14)</x:f>
      </x:c>
      <x:c r="J14" s="21" t="str">
        <x:f>IF('Private Intake'!D14="","",'Private Intake'!P14)</x:f>
      </x:c>
      <x:c r="K14" s="19" t="str">
        <x:f>IF('Private Intake'!D14="","",'Private Intake'!Q14)</x:f>
      </x:c>
      <x:c r="L14" s="19" t="str">
        <x:f>IF('Private Intake'!D14="","",'Private Intake'!R14)</x:f>
      </x:c>
    </x:row>
    <x:row r="15" ht="22" customHeight="1">
      <x:c r="A15" s="19" t="str">
        <x:f>'Private Intake'!A15</x:f>
        <x:v>T-011</x:v>
      </x:c>
      <x:c r="B15" s="19" t="str">
        <x:f>IF('Private Intake'!D15="","",'Private Intake'!D15)</x:f>
      </x:c>
      <x:c r="C15" s="19" t="str">
        <x:f>IF('Private Intake'!D15="","",'Private Intake'!E15)</x:f>
      </x:c>
      <x:c r="D15" s="19" t="str">
        <x:f>IF('Private Intake'!D15="","",'Private Intake'!F15)</x:f>
      </x:c>
      <x:c r="E15" s="19" t="str">
        <x:f>IF('Private Intake'!D15="","",'Private Intake'!H15)</x:f>
      </x:c>
      <x:c r="F15" s="19" t="str">
        <x:f>IF('Private Intake'!D15="","",'Private Intake'!I15)</x:f>
      </x:c>
      <x:c r="G15" s="19" t="str">
        <x:f>IF('Private Intake'!D15="","",'Private Intake'!J15)</x:f>
      </x:c>
      <x:c r="H15" s="20" t="str">
        <x:f>IF('Private Intake'!D15="","",'Private Intake'!K15)</x:f>
      </x:c>
      <x:c r="I15" s="19" t="str">
        <x:f>IF('Private Intake'!D15="","",'Private Intake'!M15)</x:f>
      </x:c>
      <x:c r="J15" s="21" t="str">
        <x:f>IF('Private Intake'!D15="","",'Private Intake'!P15)</x:f>
      </x:c>
      <x:c r="K15" s="19" t="str">
        <x:f>IF('Private Intake'!D15="","",'Private Intake'!Q15)</x:f>
      </x:c>
      <x:c r="L15" s="19" t="str">
        <x:f>IF('Private Intake'!D15="","",'Private Intake'!R15)</x:f>
      </x:c>
    </x:row>
    <x:row r="16" ht="22" customHeight="1">
      <x:c r="A16" s="19" t="str">
        <x:f>'Private Intake'!A16</x:f>
        <x:v>T-012</x:v>
      </x:c>
      <x:c r="B16" s="19" t="str">
        <x:f>IF('Private Intake'!D16="","",'Private Intake'!D16)</x:f>
      </x:c>
      <x:c r="C16" s="19" t="str">
        <x:f>IF('Private Intake'!D16="","",'Private Intake'!E16)</x:f>
      </x:c>
      <x:c r="D16" s="19" t="str">
        <x:f>IF('Private Intake'!D16="","",'Private Intake'!F16)</x:f>
      </x:c>
      <x:c r="E16" s="19" t="str">
        <x:f>IF('Private Intake'!D16="","",'Private Intake'!H16)</x:f>
      </x:c>
      <x:c r="F16" s="19" t="str">
        <x:f>IF('Private Intake'!D16="","",'Private Intake'!I16)</x:f>
      </x:c>
      <x:c r="G16" s="19" t="str">
        <x:f>IF('Private Intake'!D16="","",'Private Intake'!J16)</x:f>
      </x:c>
      <x:c r="H16" s="20" t="str">
        <x:f>IF('Private Intake'!D16="","",'Private Intake'!K16)</x:f>
      </x:c>
      <x:c r="I16" s="19" t="str">
        <x:f>IF('Private Intake'!D16="","",'Private Intake'!M16)</x:f>
      </x:c>
      <x:c r="J16" s="21" t="str">
        <x:f>IF('Private Intake'!D16="","",'Private Intake'!P16)</x:f>
      </x:c>
      <x:c r="K16" s="19" t="str">
        <x:f>IF('Private Intake'!D16="","",'Private Intake'!Q16)</x:f>
      </x:c>
      <x:c r="L16" s="19" t="str">
        <x:f>IF('Private Intake'!D16="","",'Private Intake'!R16)</x:f>
      </x:c>
    </x:row>
    <x:row r="17" ht="22" customHeight="1">
      <x:c r="A17" s="19" t="str">
        <x:f>'Private Intake'!A17</x:f>
        <x:v>T-013</x:v>
      </x:c>
      <x:c r="B17" s="19" t="str">
        <x:f>IF('Private Intake'!D17="","",'Private Intake'!D17)</x:f>
      </x:c>
      <x:c r="C17" s="19" t="str">
        <x:f>IF('Private Intake'!D17="","",'Private Intake'!E17)</x:f>
      </x:c>
      <x:c r="D17" s="19" t="str">
        <x:f>IF('Private Intake'!D17="","",'Private Intake'!F17)</x:f>
      </x:c>
      <x:c r="E17" s="19" t="str">
        <x:f>IF('Private Intake'!D17="","",'Private Intake'!H17)</x:f>
      </x:c>
      <x:c r="F17" s="19" t="str">
        <x:f>IF('Private Intake'!D17="","",'Private Intake'!I17)</x:f>
      </x:c>
      <x:c r="G17" s="19" t="str">
        <x:f>IF('Private Intake'!D17="","",'Private Intake'!J17)</x:f>
      </x:c>
      <x:c r="H17" s="20" t="str">
        <x:f>IF('Private Intake'!D17="","",'Private Intake'!K17)</x:f>
      </x:c>
      <x:c r="I17" s="19" t="str">
        <x:f>IF('Private Intake'!D17="","",'Private Intake'!M17)</x:f>
      </x:c>
      <x:c r="J17" s="21" t="str">
        <x:f>IF('Private Intake'!D17="","",'Private Intake'!P17)</x:f>
      </x:c>
      <x:c r="K17" s="19" t="str">
        <x:f>IF('Private Intake'!D17="","",'Private Intake'!Q17)</x:f>
      </x:c>
      <x:c r="L17" s="19" t="str">
        <x:f>IF('Private Intake'!D17="","",'Private Intake'!R17)</x:f>
      </x:c>
    </x:row>
    <x:row r="18" ht="22" customHeight="1">
      <x:c r="A18" s="19" t="str">
        <x:f>'Private Intake'!A18</x:f>
        <x:v>T-014</x:v>
      </x:c>
      <x:c r="B18" s="19" t="str">
        <x:f>IF('Private Intake'!D18="","",'Private Intake'!D18)</x:f>
      </x:c>
      <x:c r="C18" s="19" t="str">
        <x:f>IF('Private Intake'!D18="","",'Private Intake'!E18)</x:f>
      </x:c>
      <x:c r="D18" s="19" t="str">
        <x:f>IF('Private Intake'!D18="","",'Private Intake'!F18)</x:f>
      </x:c>
      <x:c r="E18" s="19" t="str">
        <x:f>IF('Private Intake'!D18="","",'Private Intake'!H18)</x:f>
      </x:c>
      <x:c r="F18" s="19" t="str">
        <x:f>IF('Private Intake'!D18="","",'Private Intake'!I18)</x:f>
      </x:c>
      <x:c r="G18" s="19" t="str">
        <x:f>IF('Private Intake'!D18="","",'Private Intake'!J18)</x:f>
      </x:c>
      <x:c r="H18" s="20" t="str">
        <x:f>IF('Private Intake'!D18="","",'Private Intake'!K18)</x:f>
      </x:c>
      <x:c r="I18" s="19" t="str">
        <x:f>IF('Private Intake'!D18="","",'Private Intake'!M18)</x:f>
      </x:c>
      <x:c r="J18" s="21" t="str">
        <x:f>IF('Private Intake'!D18="","",'Private Intake'!P18)</x:f>
      </x:c>
      <x:c r="K18" s="19" t="str">
        <x:f>IF('Private Intake'!D18="","",'Private Intake'!Q18)</x:f>
      </x:c>
      <x:c r="L18" s="19" t="str">
        <x:f>IF('Private Intake'!D18="","",'Private Intake'!R18)</x:f>
      </x:c>
    </x:row>
    <x:row r="19" ht="22" customHeight="1">
      <x:c r="A19" s="19" t="str">
        <x:f>'Private Intake'!A19</x:f>
        <x:v>T-015</x:v>
      </x:c>
      <x:c r="B19" s="19" t="str">
        <x:f>IF('Private Intake'!D19="","",'Private Intake'!D19)</x:f>
      </x:c>
      <x:c r="C19" s="19" t="str">
        <x:f>IF('Private Intake'!D19="","",'Private Intake'!E19)</x:f>
      </x:c>
      <x:c r="D19" s="19" t="str">
        <x:f>IF('Private Intake'!D19="","",'Private Intake'!F19)</x:f>
      </x:c>
      <x:c r="E19" s="19" t="str">
        <x:f>IF('Private Intake'!D19="","",'Private Intake'!H19)</x:f>
      </x:c>
      <x:c r="F19" s="19" t="str">
        <x:f>IF('Private Intake'!D19="","",'Private Intake'!I19)</x:f>
      </x:c>
      <x:c r="G19" s="19" t="str">
        <x:f>IF('Private Intake'!D19="","",'Private Intake'!J19)</x:f>
      </x:c>
      <x:c r="H19" s="20" t="str">
        <x:f>IF('Private Intake'!D19="","",'Private Intake'!K19)</x:f>
      </x:c>
      <x:c r="I19" s="19" t="str">
        <x:f>IF('Private Intake'!D19="","",'Private Intake'!M19)</x:f>
      </x:c>
      <x:c r="J19" s="21" t="str">
        <x:f>IF('Private Intake'!D19="","",'Private Intake'!P19)</x:f>
      </x:c>
      <x:c r="K19" s="19" t="str">
        <x:f>IF('Private Intake'!D19="","",'Private Intake'!Q19)</x:f>
      </x:c>
      <x:c r="L19" s="19" t="str">
        <x:f>IF('Private Intake'!D19="","",'Private Intake'!R19)</x:f>
      </x:c>
    </x:row>
    <x:row r="20" ht="22" customHeight="1">
      <x:c r="A20" s="19" t="str">
        <x:f>'Private Intake'!A20</x:f>
        <x:v>T-016</x:v>
      </x:c>
      <x:c r="B20" s="19" t="str">
        <x:f>IF('Private Intake'!D20="","",'Private Intake'!D20)</x:f>
      </x:c>
      <x:c r="C20" s="19" t="str">
        <x:f>IF('Private Intake'!D20="","",'Private Intake'!E20)</x:f>
      </x:c>
      <x:c r="D20" s="19" t="str">
        <x:f>IF('Private Intake'!D20="","",'Private Intake'!F20)</x:f>
      </x:c>
      <x:c r="E20" s="19" t="str">
        <x:f>IF('Private Intake'!D20="","",'Private Intake'!H20)</x:f>
      </x:c>
      <x:c r="F20" s="19" t="str">
        <x:f>IF('Private Intake'!D20="","",'Private Intake'!I20)</x:f>
      </x:c>
      <x:c r="G20" s="19" t="str">
        <x:f>IF('Private Intake'!D20="","",'Private Intake'!J20)</x:f>
      </x:c>
      <x:c r="H20" s="20" t="str">
        <x:f>IF('Private Intake'!D20="","",'Private Intake'!K20)</x:f>
      </x:c>
      <x:c r="I20" s="19" t="str">
        <x:f>IF('Private Intake'!D20="","",'Private Intake'!M20)</x:f>
      </x:c>
      <x:c r="J20" s="21" t="str">
        <x:f>IF('Private Intake'!D20="","",'Private Intake'!P20)</x:f>
      </x:c>
      <x:c r="K20" s="19" t="str">
        <x:f>IF('Private Intake'!D20="","",'Private Intake'!Q20)</x:f>
      </x:c>
      <x:c r="L20" s="19" t="str">
        <x:f>IF('Private Intake'!D20="","",'Private Intake'!R20)</x:f>
      </x:c>
    </x:row>
    <x:row r="21" ht="22" customHeight="1">
      <x:c r="A21" s="19" t="str">
        <x:f>'Private Intake'!A21</x:f>
        <x:v>T-017</x:v>
      </x:c>
      <x:c r="B21" s="19" t="str">
        <x:f>IF('Private Intake'!D21="","",'Private Intake'!D21)</x:f>
      </x:c>
      <x:c r="C21" s="19" t="str">
        <x:f>IF('Private Intake'!D21="","",'Private Intake'!E21)</x:f>
      </x:c>
      <x:c r="D21" s="19" t="str">
        <x:f>IF('Private Intake'!D21="","",'Private Intake'!F21)</x:f>
      </x:c>
      <x:c r="E21" s="19" t="str">
        <x:f>IF('Private Intake'!D21="","",'Private Intake'!H21)</x:f>
      </x:c>
      <x:c r="F21" s="19" t="str">
        <x:f>IF('Private Intake'!D21="","",'Private Intake'!I21)</x:f>
      </x:c>
      <x:c r="G21" s="19" t="str">
        <x:f>IF('Private Intake'!D21="","",'Private Intake'!J21)</x:f>
      </x:c>
      <x:c r="H21" s="20" t="str">
        <x:f>IF('Private Intake'!D21="","",'Private Intake'!K21)</x:f>
      </x:c>
      <x:c r="I21" s="19" t="str">
        <x:f>IF('Private Intake'!D21="","",'Private Intake'!M21)</x:f>
      </x:c>
      <x:c r="J21" s="21" t="str">
        <x:f>IF('Private Intake'!D21="","",'Private Intake'!P21)</x:f>
      </x:c>
      <x:c r="K21" s="19" t="str">
        <x:f>IF('Private Intake'!D21="","",'Private Intake'!Q21)</x:f>
      </x:c>
      <x:c r="L21" s="19" t="str">
        <x:f>IF('Private Intake'!D21="","",'Private Intake'!R21)</x:f>
      </x:c>
    </x:row>
    <x:row r="22" ht="22" customHeight="1">
      <x:c r="A22" s="19" t="str">
        <x:f>'Private Intake'!A22</x:f>
        <x:v>T-018</x:v>
      </x:c>
      <x:c r="B22" s="19" t="str">
        <x:f>IF('Private Intake'!D22="","",'Private Intake'!D22)</x:f>
      </x:c>
      <x:c r="C22" s="19" t="str">
        <x:f>IF('Private Intake'!D22="","",'Private Intake'!E22)</x:f>
      </x:c>
      <x:c r="D22" s="19" t="str">
        <x:f>IF('Private Intake'!D22="","",'Private Intake'!F22)</x:f>
      </x:c>
      <x:c r="E22" s="19" t="str">
        <x:f>IF('Private Intake'!D22="","",'Private Intake'!H22)</x:f>
      </x:c>
      <x:c r="F22" s="19" t="str">
        <x:f>IF('Private Intake'!D22="","",'Private Intake'!I22)</x:f>
      </x:c>
      <x:c r="G22" s="19" t="str">
        <x:f>IF('Private Intake'!D22="","",'Private Intake'!J22)</x:f>
      </x:c>
      <x:c r="H22" s="20" t="str">
        <x:f>IF('Private Intake'!D22="","",'Private Intake'!K22)</x:f>
      </x:c>
      <x:c r="I22" s="19" t="str">
        <x:f>IF('Private Intake'!D22="","",'Private Intake'!M22)</x:f>
      </x:c>
      <x:c r="J22" s="21" t="str">
        <x:f>IF('Private Intake'!D22="","",'Private Intake'!P22)</x:f>
      </x:c>
      <x:c r="K22" s="19" t="str">
        <x:f>IF('Private Intake'!D22="","",'Private Intake'!Q22)</x:f>
      </x:c>
      <x:c r="L22" s="19" t="str">
        <x:f>IF('Private Intake'!D22="","",'Private Intake'!R22)</x:f>
      </x:c>
    </x:row>
    <x:row r="23" ht="22" customHeight="1">
      <x:c r="A23" s="19" t="str">
        <x:f>'Private Intake'!A23</x:f>
        <x:v>T-019</x:v>
      </x:c>
      <x:c r="B23" s="19" t="str">
        <x:f>IF('Private Intake'!D23="","",'Private Intake'!D23)</x:f>
      </x:c>
      <x:c r="C23" s="19" t="str">
        <x:f>IF('Private Intake'!D23="","",'Private Intake'!E23)</x:f>
      </x:c>
      <x:c r="D23" s="19" t="str">
        <x:f>IF('Private Intake'!D23="","",'Private Intake'!F23)</x:f>
      </x:c>
      <x:c r="E23" s="19" t="str">
        <x:f>IF('Private Intake'!D23="","",'Private Intake'!H23)</x:f>
      </x:c>
      <x:c r="F23" s="19" t="str">
        <x:f>IF('Private Intake'!D23="","",'Private Intake'!I23)</x:f>
      </x:c>
      <x:c r="G23" s="19" t="str">
        <x:f>IF('Private Intake'!D23="","",'Private Intake'!J23)</x:f>
      </x:c>
      <x:c r="H23" s="20" t="str">
        <x:f>IF('Private Intake'!D23="","",'Private Intake'!K23)</x:f>
      </x:c>
      <x:c r="I23" s="19" t="str">
        <x:f>IF('Private Intake'!D23="","",'Private Intake'!M23)</x:f>
      </x:c>
      <x:c r="J23" s="21" t="str">
        <x:f>IF('Private Intake'!D23="","",'Private Intake'!P23)</x:f>
      </x:c>
      <x:c r="K23" s="19" t="str">
        <x:f>IF('Private Intake'!D23="","",'Private Intake'!Q23)</x:f>
      </x:c>
      <x:c r="L23" s="19" t="str">
        <x:f>IF('Private Intake'!D23="","",'Private Intake'!R23)</x:f>
      </x:c>
    </x:row>
    <x:row r="24" ht="22" customHeight="1">
      <x:c r="A24" s="19" t="str">
        <x:f>'Private Intake'!A24</x:f>
        <x:v>T-020</x:v>
      </x:c>
      <x:c r="B24" s="19" t="str">
        <x:f>IF('Private Intake'!D24="","",'Private Intake'!D24)</x:f>
      </x:c>
      <x:c r="C24" s="19" t="str">
        <x:f>IF('Private Intake'!D24="","",'Private Intake'!E24)</x:f>
      </x:c>
      <x:c r="D24" s="19" t="str">
        <x:f>IF('Private Intake'!D24="","",'Private Intake'!F24)</x:f>
      </x:c>
      <x:c r="E24" s="19" t="str">
        <x:f>IF('Private Intake'!D24="","",'Private Intake'!H24)</x:f>
      </x:c>
      <x:c r="F24" s="19" t="str">
        <x:f>IF('Private Intake'!D24="","",'Private Intake'!I24)</x:f>
      </x:c>
      <x:c r="G24" s="19" t="str">
        <x:f>IF('Private Intake'!D24="","",'Private Intake'!J24)</x:f>
      </x:c>
      <x:c r="H24" s="20" t="str">
        <x:f>IF('Private Intake'!D24="","",'Private Intake'!K24)</x:f>
      </x:c>
      <x:c r="I24" s="19" t="str">
        <x:f>IF('Private Intake'!D24="","",'Private Intake'!M24)</x:f>
      </x:c>
      <x:c r="J24" s="21" t="str">
        <x:f>IF('Private Intake'!D24="","",'Private Intake'!P24)</x:f>
      </x:c>
      <x:c r="K24" s="19" t="str">
        <x:f>IF('Private Intake'!D24="","",'Private Intake'!Q24)</x:f>
      </x:c>
      <x:c r="L24" s="19" t="str">
        <x:f>IF('Private Intake'!D24="","",'Private Intake'!R24)</x:f>
      </x:c>
    </x:row>
    <x:row r="25" ht="22" customHeight="1">
      <x:c r="A25" s="19" t="str">
        <x:f>'Private Intake'!A25</x:f>
        <x:v>T-021</x:v>
      </x:c>
      <x:c r="B25" s="19" t="str">
        <x:f>IF('Private Intake'!D25="","",'Private Intake'!D25)</x:f>
      </x:c>
      <x:c r="C25" s="19" t="str">
        <x:f>IF('Private Intake'!D25="","",'Private Intake'!E25)</x:f>
      </x:c>
      <x:c r="D25" s="19" t="str">
        <x:f>IF('Private Intake'!D25="","",'Private Intake'!F25)</x:f>
      </x:c>
      <x:c r="E25" s="19" t="str">
        <x:f>IF('Private Intake'!D25="","",'Private Intake'!H25)</x:f>
      </x:c>
      <x:c r="F25" s="19" t="str">
        <x:f>IF('Private Intake'!D25="","",'Private Intake'!I25)</x:f>
      </x:c>
      <x:c r="G25" s="19" t="str">
        <x:f>IF('Private Intake'!D25="","",'Private Intake'!J25)</x:f>
      </x:c>
      <x:c r="H25" s="20" t="str">
        <x:f>IF('Private Intake'!D25="","",'Private Intake'!K25)</x:f>
      </x:c>
      <x:c r="I25" s="19" t="str">
        <x:f>IF('Private Intake'!D25="","",'Private Intake'!M25)</x:f>
      </x:c>
      <x:c r="J25" s="21" t="str">
        <x:f>IF('Private Intake'!D25="","",'Private Intake'!P25)</x:f>
      </x:c>
      <x:c r="K25" s="19" t="str">
        <x:f>IF('Private Intake'!D25="","",'Private Intake'!Q25)</x:f>
      </x:c>
      <x:c r="L25" s="19" t="str">
        <x:f>IF('Private Intake'!D25="","",'Private Intake'!R25)</x:f>
      </x:c>
    </x:row>
    <x:row r="26" ht="22" customHeight="1">
      <x:c r="A26" s="19" t="str">
        <x:f>'Private Intake'!A26</x:f>
        <x:v>T-022</x:v>
      </x:c>
      <x:c r="B26" s="19" t="str">
        <x:f>IF('Private Intake'!D26="","",'Private Intake'!D26)</x:f>
      </x:c>
      <x:c r="C26" s="19" t="str">
        <x:f>IF('Private Intake'!D26="","",'Private Intake'!E26)</x:f>
      </x:c>
      <x:c r="D26" s="19" t="str">
        <x:f>IF('Private Intake'!D26="","",'Private Intake'!F26)</x:f>
      </x:c>
      <x:c r="E26" s="19" t="str">
        <x:f>IF('Private Intake'!D26="","",'Private Intake'!H26)</x:f>
      </x:c>
      <x:c r="F26" s="19" t="str">
        <x:f>IF('Private Intake'!D26="","",'Private Intake'!I26)</x:f>
      </x:c>
      <x:c r="G26" s="19" t="str">
        <x:f>IF('Private Intake'!D26="","",'Private Intake'!J26)</x:f>
      </x:c>
      <x:c r="H26" s="20" t="str">
        <x:f>IF('Private Intake'!D26="","",'Private Intake'!K26)</x:f>
      </x:c>
      <x:c r="I26" s="19" t="str">
        <x:f>IF('Private Intake'!D26="","",'Private Intake'!M26)</x:f>
      </x:c>
      <x:c r="J26" s="21" t="str">
        <x:f>IF('Private Intake'!D26="","",'Private Intake'!P26)</x:f>
      </x:c>
      <x:c r="K26" s="19" t="str">
        <x:f>IF('Private Intake'!D26="","",'Private Intake'!Q26)</x:f>
      </x:c>
      <x:c r="L26" s="19" t="str">
        <x:f>IF('Private Intake'!D26="","",'Private Intake'!R26)</x:f>
      </x:c>
    </x:row>
    <x:row r="27" ht="22" customHeight="1">
      <x:c r="A27" s="19" t="str">
        <x:f>'Private Intake'!A27</x:f>
        <x:v>T-023</x:v>
      </x:c>
      <x:c r="B27" s="19" t="str">
        <x:f>IF('Private Intake'!D27="","",'Private Intake'!D27)</x:f>
      </x:c>
      <x:c r="C27" s="19" t="str">
        <x:f>IF('Private Intake'!D27="","",'Private Intake'!E27)</x:f>
      </x:c>
      <x:c r="D27" s="19" t="str">
        <x:f>IF('Private Intake'!D27="","",'Private Intake'!F27)</x:f>
      </x:c>
      <x:c r="E27" s="19" t="str">
        <x:f>IF('Private Intake'!D27="","",'Private Intake'!H27)</x:f>
      </x:c>
      <x:c r="F27" s="19" t="str">
        <x:f>IF('Private Intake'!D27="","",'Private Intake'!I27)</x:f>
      </x:c>
      <x:c r="G27" s="19" t="str">
        <x:f>IF('Private Intake'!D27="","",'Private Intake'!J27)</x:f>
      </x:c>
      <x:c r="H27" s="20" t="str">
        <x:f>IF('Private Intake'!D27="","",'Private Intake'!K27)</x:f>
      </x:c>
      <x:c r="I27" s="19" t="str">
        <x:f>IF('Private Intake'!D27="","",'Private Intake'!M27)</x:f>
      </x:c>
      <x:c r="J27" s="21" t="str">
        <x:f>IF('Private Intake'!D27="","",'Private Intake'!P27)</x:f>
      </x:c>
      <x:c r="K27" s="19" t="str">
        <x:f>IF('Private Intake'!D27="","",'Private Intake'!Q27)</x:f>
      </x:c>
      <x:c r="L27" s="19" t="str">
        <x:f>IF('Private Intake'!D27="","",'Private Intake'!R27)</x:f>
      </x:c>
    </x:row>
    <x:row r="28" ht="22" customHeight="1">
      <x:c r="A28" s="19" t="str">
        <x:f>'Private Intake'!A28</x:f>
        <x:v>T-024</x:v>
      </x:c>
      <x:c r="B28" s="19" t="str">
        <x:f>IF('Private Intake'!D28="","",'Private Intake'!D28)</x:f>
      </x:c>
      <x:c r="C28" s="19" t="str">
        <x:f>IF('Private Intake'!D28="","",'Private Intake'!E28)</x:f>
      </x:c>
      <x:c r="D28" s="19" t="str">
        <x:f>IF('Private Intake'!D28="","",'Private Intake'!F28)</x:f>
      </x:c>
      <x:c r="E28" s="19" t="str">
        <x:f>IF('Private Intake'!D28="","",'Private Intake'!H28)</x:f>
      </x:c>
      <x:c r="F28" s="19" t="str">
        <x:f>IF('Private Intake'!D28="","",'Private Intake'!I28)</x:f>
      </x:c>
      <x:c r="G28" s="19" t="str">
        <x:f>IF('Private Intake'!D28="","",'Private Intake'!J28)</x:f>
      </x:c>
      <x:c r="H28" s="20" t="str">
        <x:f>IF('Private Intake'!D28="","",'Private Intake'!K28)</x:f>
      </x:c>
      <x:c r="I28" s="19" t="str">
        <x:f>IF('Private Intake'!D28="","",'Private Intake'!M28)</x:f>
      </x:c>
      <x:c r="J28" s="21" t="str">
        <x:f>IF('Private Intake'!D28="","",'Private Intake'!P28)</x:f>
      </x:c>
      <x:c r="K28" s="19" t="str">
        <x:f>IF('Private Intake'!D28="","",'Private Intake'!Q28)</x:f>
      </x:c>
      <x:c r="L28" s="19" t="str">
        <x:f>IF('Private Intake'!D28="","",'Private Intake'!R28)</x:f>
      </x:c>
    </x:row>
    <x:row r="29" ht="22" customHeight="1">
      <x:c r="A29" s="19" t="str">
        <x:f>'Private Intake'!A29</x:f>
        <x:v>T-025</x:v>
      </x:c>
      <x:c r="B29" s="19" t="str">
        <x:f>IF('Private Intake'!D29="","",'Private Intake'!D29)</x:f>
      </x:c>
      <x:c r="C29" s="19" t="str">
        <x:f>IF('Private Intake'!D29="","",'Private Intake'!E29)</x:f>
      </x:c>
      <x:c r="D29" s="19" t="str">
        <x:f>IF('Private Intake'!D29="","",'Private Intake'!F29)</x:f>
      </x:c>
      <x:c r="E29" s="19" t="str">
        <x:f>IF('Private Intake'!D29="","",'Private Intake'!H29)</x:f>
      </x:c>
      <x:c r="F29" s="19" t="str">
        <x:f>IF('Private Intake'!D29="","",'Private Intake'!I29)</x:f>
      </x:c>
      <x:c r="G29" s="19" t="str">
        <x:f>IF('Private Intake'!D29="","",'Private Intake'!J29)</x:f>
      </x:c>
      <x:c r="H29" s="20" t="str">
        <x:f>IF('Private Intake'!D29="","",'Private Intake'!K29)</x:f>
      </x:c>
      <x:c r="I29" s="19" t="str">
        <x:f>IF('Private Intake'!D29="","",'Private Intake'!M29)</x:f>
      </x:c>
      <x:c r="J29" s="21" t="str">
        <x:f>IF('Private Intake'!D29="","",'Private Intake'!P29)</x:f>
      </x:c>
      <x:c r="K29" s="19" t="str">
        <x:f>IF('Private Intake'!D29="","",'Private Intake'!Q29)</x:f>
      </x:c>
      <x:c r="L29" s="19" t="str">
        <x:f>IF('Private Intake'!D29="","",'Private Intake'!R29)</x:f>
      </x:c>
    </x:row>
    <x:row r="30" ht="22" customHeight="1">
      <x:c r="A30" s="19" t="str">
        <x:f>'Private Intake'!A30</x:f>
        <x:v>T-026</x:v>
      </x:c>
      <x:c r="B30" s="19" t="str">
        <x:f>IF('Private Intake'!D30="","",'Private Intake'!D30)</x:f>
      </x:c>
      <x:c r="C30" s="19" t="str">
        <x:f>IF('Private Intake'!D30="","",'Private Intake'!E30)</x:f>
      </x:c>
      <x:c r="D30" s="19" t="str">
        <x:f>IF('Private Intake'!D30="","",'Private Intake'!F30)</x:f>
      </x:c>
      <x:c r="E30" s="19" t="str">
        <x:f>IF('Private Intake'!D30="","",'Private Intake'!H30)</x:f>
      </x:c>
      <x:c r="F30" s="19" t="str">
        <x:f>IF('Private Intake'!D30="","",'Private Intake'!I30)</x:f>
      </x:c>
      <x:c r="G30" s="19" t="str">
        <x:f>IF('Private Intake'!D30="","",'Private Intake'!J30)</x:f>
      </x:c>
      <x:c r="H30" s="20" t="str">
        <x:f>IF('Private Intake'!D30="","",'Private Intake'!K30)</x:f>
      </x:c>
      <x:c r="I30" s="19" t="str">
        <x:f>IF('Private Intake'!D30="","",'Private Intake'!M30)</x:f>
      </x:c>
      <x:c r="J30" s="21" t="str">
        <x:f>IF('Private Intake'!D30="","",'Private Intake'!P30)</x:f>
      </x:c>
      <x:c r="K30" s="19" t="str">
        <x:f>IF('Private Intake'!D30="","",'Private Intake'!Q30)</x:f>
      </x:c>
      <x:c r="L30" s="19" t="str">
        <x:f>IF('Private Intake'!D30="","",'Private Intake'!R30)</x:f>
      </x:c>
    </x:row>
    <x:row r="31" ht="22" customHeight="1">
      <x:c r="A31" s="19" t="str">
        <x:f>'Private Intake'!A31</x:f>
        <x:v>T-027</x:v>
      </x:c>
      <x:c r="B31" s="19" t="str">
        <x:f>IF('Private Intake'!D31="","",'Private Intake'!D31)</x:f>
      </x:c>
      <x:c r="C31" s="19" t="str">
        <x:f>IF('Private Intake'!D31="","",'Private Intake'!E31)</x:f>
      </x:c>
      <x:c r="D31" s="19" t="str">
        <x:f>IF('Private Intake'!D31="","",'Private Intake'!F31)</x:f>
      </x:c>
      <x:c r="E31" s="19" t="str">
        <x:f>IF('Private Intake'!D31="","",'Private Intake'!H31)</x:f>
      </x:c>
      <x:c r="F31" s="19" t="str">
        <x:f>IF('Private Intake'!D31="","",'Private Intake'!I31)</x:f>
      </x:c>
      <x:c r="G31" s="19" t="str">
        <x:f>IF('Private Intake'!D31="","",'Private Intake'!J31)</x:f>
      </x:c>
      <x:c r="H31" s="20" t="str">
        <x:f>IF('Private Intake'!D31="","",'Private Intake'!K31)</x:f>
      </x:c>
      <x:c r="I31" s="19" t="str">
        <x:f>IF('Private Intake'!D31="","",'Private Intake'!M31)</x:f>
      </x:c>
      <x:c r="J31" s="21" t="str">
        <x:f>IF('Private Intake'!D31="","",'Private Intake'!P31)</x:f>
      </x:c>
      <x:c r="K31" s="19" t="str">
        <x:f>IF('Private Intake'!D31="","",'Private Intake'!Q31)</x:f>
      </x:c>
      <x:c r="L31" s="19" t="str">
        <x:f>IF('Private Intake'!D31="","",'Private Intake'!R31)</x:f>
      </x:c>
    </x:row>
    <x:row r="32" ht="22" customHeight="1">
      <x:c r="A32" s="19" t="str">
        <x:f>'Private Intake'!A32</x:f>
        <x:v>T-028</x:v>
      </x:c>
      <x:c r="B32" s="19" t="str">
        <x:f>IF('Private Intake'!D32="","",'Private Intake'!D32)</x:f>
      </x:c>
      <x:c r="C32" s="19" t="str">
        <x:f>IF('Private Intake'!D32="","",'Private Intake'!E32)</x:f>
      </x:c>
      <x:c r="D32" s="19" t="str">
        <x:f>IF('Private Intake'!D32="","",'Private Intake'!F32)</x:f>
      </x:c>
      <x:c r="E32" s="19" t="str">
        <x:f>IF('Private Intake'!D32="","",'Private Intake'!H32)</x:f>
      </x:c>
      <x:c r="F32" s="19" t="str">
        <x:f>IF('Private Intake'!D32="","",'Private Intake'!I32)</x:f>
      </x:c>
      <x:c r="G32" s="19" t="str">
        <x:f>IF('Private Intake'!D32="","",'Private Intake'!J32)</x:f>
      </x:c>
      <x:c r="H32" s="20" t="str">
        <x:f>IF('Private Intake'!D32="","",'Private Intake'!K32)</x:f>
      </x:c>
      <x:c r="I32" s="19" t="str">
        <x:f>IF('Private Intake'!D32="","",'Private Intake'!M32)</x:f>
      </x:c>
      <x:c r="J32" s="21" t="str">
        <x:f>IF('Private Intake'!D32="","",'Private Intake'!P32)</x:f>
      </x:c>
      <x:c r="K32" s="19" t="str">
        <x:f>IF('Private Intake'!D32="","",'Private Intake'!Q32)</x:f>
      </x:c>
      <x:c r="L32" s="19" t="str">
        <x:f>IF('Private Intake'!D32="","",'Private Intake'!R32)</x:f>
      </x:c>
    </x:row>
    <x:row r="33" ht="22" customHeight="1">
      <x:c r="A33" s="19" t="str">
        <x:f>'Private Intake'!A33</x:f>
        <x:v>T-029</x:v>
      </x:c>
      <x:c r="B33" s="19" t="str">
        <x:f>IF('Private Intake'!D33="","",'Private Intake'!D33)</x:f>
      </x:c>
      <x:c r="C33" s="19" t="str">
        <x:f>IF('Private Intake'!D33="","",'Private Intake'!E33)</x:f>
      </x:c>
      <x:c r="D33" s="19" t="str">
        <x:f>IF('Private Intake'!D33="","",'Private Intake'!F33)</x:f>
      </x:c>
      <x:c r="E33" s="19" t="str">
        <x:f>IF('Private Intake'!D33="","",'Private Intake'!H33)</x:f>
      </x:c>
      <x:c r="F33" s="19" t="str">
        <x:f>IF('Private Intake'!D33="","",'Private Intake'!I33)</x:f>
      </x:c>
      <x:c r="G33" s="19" t="str">
        <x:f>IF('Private Intake'!D33="","",'Private Intake'!J33)</x:f>
      </x:c>
      <x:c r="H33" s="20" t="str">
        <x:f>IF('Private Intake'!D33="","",'Private Intake'!K33)</x:f>
      </x:c>
      <x:c r="I33" s="19" t="str">
        <x:f>IF('Private Intake'!D33="","",'Private Intake'!M33)</x:f>
      </x:c>
      <x:c r="J33" s="21" t="str">
        <x:f>IF('Private Intake'!D33="","",'Private Intake'!P33)</x:f>
      </x:c>
      <x:c r="K33" s="19" t="str">
        <x:f>IF('Private Intake'!D33="","",'Private Intake'!Q33)</x:f>
      </x:c>
      <x:c r="L33" s="19" t="str">
        <x:f>IF('Private Intake'!D33="","",'Private Intake'!R33)</x:f>
      </x:c>
    </x:row>
    <x:row r="34" ht="22" customHeight="1">
      <x:c r="A34" s="19" t="str">
        <x:f>'Private Intake'!A34</x:f>
        <x:v>T-030</x:v>
      </x:c>
      <x:c r="B34" s="19" t="str">
        <x:f>IF('Private Intake'!D34="","",'Private Intake'!D34)</x:f>
      </x:c>
      <x:c r="C34" s="19" t="str">
        <x:f>IF('Private Intake'!D34="","",'Private Intake'!E34)</x:f>
      </x:c>
      <x:c r="D34" s="19" t="str">
        <x:f>IF('Private Intake'!D34="","",'Private Intake'!F34)</x:f>
      </x:c>
      <x:c r="E34" s="19" t="str">
        <x:f>IF('Private Intake'!D34="","",'Private Intake'!H34)</x:f>
      </x:c>
      <x:c r="F34" s="19" t="str">
        <x:f>IF('Private Intake'!D34="","",'Private Intake'!I34)</x:f>
      </x:c>
      <x:c r="G34" s="19" t="str">
        <x:f>IF('Private Intake'!D34="","",'Private Intake'!J34)</x:f>
      </x:c>
      <x:c r="H34" s="20" t="str">
        <x:f>IF('Private Intake'!D34="","",'Private Intake'!K34)</x:f>
      </x:c>
      <x:c r="I34" s="19" t="str">
        <x:f>IF('Private Intake'!D34="","",'Private Intake'!M34)</x:f>
      </x:c>
      <x:c r="J34" s="21" t="str">
        <x:f>IF('Private Intake'!D34="","",'Private Intake'!P34)</x:f>
      </x:c>
      <x:c r="K34" s="19" t="str">
        <x:f>IF('Private Intake'!D34="","",'Private Intake'!Q34)</x:f>
      </x:c>
      <x:c r="L34" s="19" t="str">
        <x:f>IF('Private Intake'!D34="","",'Private Intake'!R34)</x:f>
      </x:c>
    </x:row>
    <x:row r="35" ht="22" customHeight="1">
      <x:c r="A35" s="19" t="str">
        <x:f>'Private Intake'!A35</x:f>
        <x:v>T-031</x:v>
      </x:c>
      <x:c r="B35" s="19" t="str">
        <x:f>IF('Private Intake'!D35="","",'Private Intake'!D35)</x:f>
      </x:c>
      <x:c r="C35" s="19" t="str">
        <x:f>IF('Private Intake'!D35="","",'Private Intake'!E35)</x:f>
      </x:c>
      <x:c r="D35" s="19" t="str">
        <x:f>IF('Private Intake'!D35="","",'Private Intake'!F35)</x:f>
      </x:c>
      <x:c r="E35" s="19" t="str">
        <x:f>IF('Private Intake'!D35="","",'Private Intake'!H35)</x:f>
      </x:c>
      <x:c r="F35" s="19" t="str">
        <x:f>IF('Private Intake'!D35="","",'Private Intake'!I35)</x:f>
      </x:c>
      <x:c r="G35" s="19" t="str">
        <x:f>IF('Private Intake'!D35="","",'Private Intake'!J35)</x:f>
      </x:c>
      <x:c r="H35" s="20" t="str">
        <x:f>IF('Private Intake'!D35="","",'Private Intake'!K35)</x:f>
      </x:c>
      <x:c r="I35" s="19" t="str">
        <x:f>IF('Private Intake'!D35="","",'Private Intake'!M35)</x:f>
      </x:c>
      <x:c r="J35" s="21" t="str">
        <x:f>IF('Private Intake'!D35="","",'Private Intake'!P35)</x:f>
      </x:c>
      <x:c r="K35" s="19" t="str">
        <x:f>IF('Private Intake'!D35="","",'Private Intake'!Q35)</x:f>
      </x:c>
      <x:c r="L35" s="19" t="str">
        <x:f>IF('Private Intake'!D35="","",'Private Intake'!R35)</x:f>
      </x:c>
    </x:row>
    <x:row r="36" ht="22" customHeight="1">
      <x:c r="A36" s="19" t="str">
        <x:f>'Private Intake'!A36</x:f>
        <x:v>T-032</x:v>
      </x:c>
      <x:c r="B36" s="19" t="str">
        <x:f>IF('Private Intake'!D36="","",'Private Intake'!D36)</x:f>
      </x:c>
      <x:c r="C36" s="19" t="str">
        <x:f>IF('Private Intake'!D36="","",'Private Intake'!E36)</x:f>
      </x:c>
      <x:c r="D36" s="19" t="str">
        <x:f>IF('Private Intake'!D36="","",'Private Intake'!F36)</x:f>
      </x:c>
      <x:c r="E36" s="19" t="str">
        <x:f>IF('Private Intake'!D36="","",'Private Intake'!H36)</x:f>
      </x:c>
      <x:c r="F36" s="19" t="str">
        <x:f>IF('Private Intake'!D36="","",'Private Intake'!I36)</x:f>
      </x:c>
      <x:c r="G36" s="19" t="str">
        <x:f>IF('Private Intake'!D36="","",'Private Intake'!J36)</x:f>
      </x:c>
      <x:c r="H36" s="20" t="str">
        <x:f>IF('Private Intake'!D36="","",'Private Intake'!K36)</x:f>
      </x:c>
      <x:c r="I36" s="19" t="str">
        <x:f>IF('Private Intake'!D36="","",'Private Intake'!M36)</x:f>
      </x:c>
      <x:c r="J36" s="21" t="str">
        <x:f>IF('Private Intake'!D36="","",'Private Intake'!P36)</x:f>
      </x:c>
      <x:c r="K36" s="19" t="str">
        <x:f>IF('Private Intake'!D36="","",'Private Intake'!Q36)</x:f>
      </x:c>
      <x:c r="L36" s="19" t="str">
        <x:f>IF('Private Intake'!D36="","",'Private Intake'!R36)</x:f>
      </x:c>
    </x:row>
    <x:row r="37" ht="22" customHeight="1">
      <x:c r="A37" s="19" t="str">
        <x:f>'Private Intake'!A37</x:f>
        <x:v>T-033</x:v>
      </x:c>
      <x:c r="B37" s="19" t="str">
        <x:f>IF('Private Intake'!D37="","",'Private Intake'!D37)</x:f>
      </x:c>
      <x:c r="C37" s="19" t="str">
        <x:f>IF('Private Intake'!D37="","",'Private Intake'!E37)</x:f>
      </x:c>
      <x:c r="D37" s="19" t="str">
        <x:f>IF('Private Intake'!D37="","",'Private Intake'!F37)</x:f>
      </x:c>
      <x:c r="E37" s="19" t="str">
        <x:f>IF('Private Intake'!D37="","",'Private Intake'!H37)</x:f>
      </x:c>
      <x:c r="F37" s="19" t="str">
        <x:f>IF('Private Intake'!D37="","",'Private Intake'!I37)</x:f>
      </x:c>
      <x:c r="G37" s="19" t="str">
        <x:f>IF('Private Intake'!D37="","",'Private Intake'!J37)</x:f>
      </x:c>
      <x:c r="H37" s="20" t="str">
        <x:f>IF('Private Intake'!D37="","",'Private Intake'!K37)</x:f>
      </x:c>
      <x:c r="I37" s="19" t="str">
        <x:f>IF('Private Intake'!D37="","",'Private Intake'!M37)</x:f>
      </x:c>
      <x:c r="J37" s="21" t="str">
        <x:f>IF('Private Intake'!D37="","",'Private Intake'!P37)</x:f>
      </x:c>
      <x:c r="K37" s="19" t="str">
        <x:f>IF('Private Intake'!D37="","",'Private Intake'!Q37)</x:f>
      </x:c>
      <x:c r="L37" s="19" t="str">
        <x:f>IF('Private Intake'!D37="","",'Private Intake'!R37)</x:f>
      </x:c>
    </x:row>
    <x:row r="38" ht="22" customHeight="1">
      <x:c r="A38" s="19" t="str">
        <x:f>'Private Intake'!A38</x:f>
        <x:v>T-034</x:v>
      </x:c>
      <x:c r="B38" s="19" t="str">
        <x:f>IF('Private Intake'!D38="","",'Private Intake'!D38)</x:f>
      </x:c>
      <x:c r="C38" s="19" t="str">
        <x:f>IF('Private Intake'!D38="","",'Private Intake'!E38)</x:f>
      </x:c>
      <x:c r="D38" s="19" t="str">
        <x:f>IF('Private Intake'!D38="","",'Private Intake'!F38)</x:f>
      </x:c>
      <x:c r="E38" s="19" t="str">
        <x:f>IF('Private Intake'!D38="","",'Private Intake'!H38)</x:f>
      </x:c>
      <x:c r="F38" s="19" t="str">
        <x:f>IF('Private Intake'!D38="","",'Private Intake'!I38)</x:f>
      </x:c>
      <x:c r="G38" s="19" t="str">
        <x:f>IF('Private Intake'!D38="","",'Private Intake'!J38)</x:f>
      </x:c>
      <x:c r="H38" s="20" t="str">
        <x:f>IF('Private Intake'!D38="","",'Private Intake'!K38)</x:f>
      </x:c>
      <x:c r="I38" s="19" t="str">
        <x:f>IF('Private Intake'!D38="","",'Private Intake'!M38)</x:f>
      </x:c>
      <x:c r="J38" s="21" t="str">
        <x:f>IF('Private Intake'!D38="","",'Private Intake'!P38)</x:f>
      </x:c>
      <x:c r="K38" s="19" t="str">
        <x:f>IF('Private Intake'!D38="","",'Private Intake'!Q38)</x:f>
      </x:c>
      <x:c r="L38" s="19" t="str">
        <x:f>IF('Private Intake'!D38="","",'Private Intake'!R38)</x:f>
      </x:c>
    </x:row>
    <x:row r="39" ht="22" customHeight="1">
      <x:c r="A39" s="19" t="str">
        <x:f>'Private Intake'!A39</x:f>
        <x:v>T-035</x:v>
      </x:c>
      <x:c r="B39" s="19" t="str">
        <x:f>IF('Private Intake'!D39="","",'Private Intake'!D39)</x:f>
      </x:c>
      <x:c r="C39" s="19" t="str">
        <x:f>IF('Private Intake'!D39="","",'Private Intake'!E39)</x:f>
      </x:c>
      <x:c r="D39" s="19" t="str">
        <x:f>IF('Private Intake'!D39="","",'Private Intake'!F39)</x:f>
      </x:c>
      <x:c r="E39" s="19" t="str">
        <x:f>IF('Private Intake'!D39="","",'Private Intake'!H39)</x:f>
      </x:c>
      <x:c r="F39" s="19" t="str">
        <x:f>IF('Private Intake'!D39="","",'Private Intake'!I39)</x:f>
      </x:c>
      <x:c r="G39" s="19" t="str">
        <x:f>IF('Private Intake'!D39="","",'Private Intake'!J39)</x:f>
      </x:c>
      <x:c r="H39" s="20" t="str">
        <x:f>IF('Private Intake'!D39="","",'Private Intake'!K39)</x:f>
      </x:c>
      <x:c r="I39" s="19" t="str">
        <x:f>IF('Private Intake'!D39="","",'Private Intake'!M39)</x:f>
      </x:c>
      <x:c r="J39" s="21" t="str">
        <x:f>IF('Private Intake'!D39="","",'Private Intake'!P39)</x:f>
      </x:c>
      <x:c r="K39" s="19" t="str">
        <x:f>IF('Private Intake'!D39="","",'Private Intake'!Q39)</x:f>
      </x:c>
      <x:c r="L39" s="19" t="str">
        <x:f>IF('Private Intake'!D39="","",'Private Intake'!R39)</x:f>
      </x:c>
    </x:row>
    <x:row r="40" ht="22" customHeight="1">
      <x:c r="A40" s="19" t="str">
        <x:f>'Private Intake'!A40</x:f>
        <x:v>T-036</x:v>
      </x:c>
      <x:c r="B40" s="19" t="str">
        <x:f>IF('Private Intake'!D40="","",'Private Intake'!D40)</x:f>
      </x:c>
      <x:c r="C40" s="19" t="str">
        <x:f>IF('Private Intake'!D40="","",'Private Intake'!E40)</x:f>
      </x:c>
      <x:c r="D40" s="19" t="str">
        <x:f>IF('Private Intake'!D40="","",'Private Intake'!F40)</x:f>
      </x:c>
      <x:c r="E40" s="19" t="str">
        <x:f>IF('Private Intake'!D40="","",'Private Intake'!H40)</x:f>
      </x:c>
      <x:c r="F40" s="19" t="str">
        <x:f>IF('Private Intake'!D40="","",'Private Intake'!I40)</x:f>
      </x:c>
      <x:c r="G40" s="19" t="str">
        <x:f>IF('Private Intake'!D40="","",'Private Intake'!J40)</x:f>
      </x:c>
      <x:c r="H40" s="20" t="str">
        <x:f>IF('Private Intake'!D40="","",'Private Intake'!K40)</x:f>
      </x:c>
      <x:c r="I40" s="19" t="str">
        <x:f>IF('Private Intake'!D40="","",'Private Intake'!M40)</x:f>
      </x:c>
      <x:c r="J40" s="21" t="str">
        <x:f>IF('Private Intake'!D40="","",'Private Intake'!P40)</x:f>
      </x:c>
      <x:c r="K40" s="19" t="str">
        <x:f>IF('Private Intake'!D40="","",'Private Intake'!Q40)</x:f>
      </x:c>
      <x:c r="L40" s="19" t="str">
        <x:f>IF('Private Intake'!D40="","",'Private Intake'!R40)</x:f>
      </x:c>
    </x:row>
    <x:row r="41" ht="22" customHeight="1">
      <x:c r="A41" s="19" t="str">
        <x:f>'Private Intake'!A41</x:f>
        <x:v>T-037</x:v>
      </x:c>
      <x:c r="B41" s="19" t="str">
        <x:f>IF('Private Intake'!D41="","",'Private Intake'!D41)</x:f>
      </x:c>
      <x:c r="C41" s="19" t="str">
        <x:f>IF('Private Intake'!D41="","",'Private Intake'!E41)</x:f>
      </x:c>
      <x:c r="D41" s="19" t="str">
        <x:f>IF('Private Intake'!D41="","",'Private Intake'!F41)</x:f>
      </x:c>
      <x:c r="E41" s="19" t="str">
        <x:f>IF('Private Intake'!D41="","",'Private Intake'!H41)</x:f>
      </x:c>
      <x:c r="F41" s="19" t="str">
        <x:f>IF('Private Intake'!D41="","",'Private Intake'!I41)</x:f>
      </x:c>
      <x:c r="G41" s="19" t="str">
        <x:f>IF('Private Intake'!D41="","",'Private Intake'!J41)</x:f>
      </x:c>
      <x:c r="H41" s="20" t="str">
        <x:f>IF('Private Intake'!D41="","",'Private Intake'!K41)</x:f>
      </x:c>
      <x:c r="I41" s="19" t="str">
        <x:f>IF('Private Intake'!D41="","",'Private Intake'!M41)</x:f>
      </x:c>
      <x:c r="J41" s="21" t="str">
        <x:f>IF('Private Intake'!D41="","",'Private Intake'!P41)</x:f>
      </x:c>
      <x:c r="K41" s="19" t="str">
        <x:f>IF('Private Intake'!D41="","",'Private Intake'!Q41)</x:f>
      </x:c>
      <x:c r="L41" s="19" t="str">
        <x:f>IF('Private Intake'!D41="","",'Private Intake'!R41)</x:f>
      </x:c>
    </x:row>
    <x:row r="42" ht="22" customHeight="1">
      <x:c r="A42" s="19" t="str">
        <x:f>'Private Intake'!A42</x:f>
        <x:v>T-038</x:v>
      </x:c>
      <x:c r="B42" s="19" t="str">
        <x:f>IF('Private Intake'!D42="","",'Private Intake'!D42)</x:f>
      </x:c>
      <x:c r="C42" s="19" t="str">
        <x:f>IF('Private Intake'!D42="","",'Private Intake'!E42)</x:f>
      </x:c>
      <x:c r="D42" s="19" t="str">
        <x:f>IF('Private Intake'!D42="","",'Private Intake'!F42)</x:f>
      </x:c>
      <x:c r="E42" s="19" t="str">
        <x:f>IF('Private Intake'!D42="","",'Private Intake'!H42)</x:f>
      </x:c>
      <x:c r="F42" s="19" t="str">
        <x:f>IF('Private Intake'!D42="","",'Private Intake'!I42)</x:f>
      </x:c>
      <x:c r="G42" s="19" t="str">
        <x:f>IF('Private Intake'!D42="","",'Private Intake'!J42)</x:f>
      </x:c>
      <x:c r="H42" s="20" t="str">
        <x:f>IF('Private Intake'!D42="","",'Private Intake'!K42)</x:f>
      </x:c>
      <x:c r="I42" s="19" t="str">
        <x:f>IF('Private Intake'!D42="","",'Private Intake'!M42)</x:f>
      </x:c>
      <x:c r="J42" s="21" t="str">
        <x:f>IF('Private Intake'!D42="","",'Private Intake'!P42)</x:f>
      </x:c>
      <x:c r="K42" s="19" t="str">
        <x:f>IF('Private Intake'!D42="","",'Private Intake'!Q42)</x:f>
      </x:c>
      <x:c r="L42" s="19" t="str">
        <x:f>IF('Private Intake'!D42="","",'Private Intake'!R42)</x:f>
      </x:c>
    </x:row>
    <x:row r="43" ht="22" customHeight="1">
      <x:c r="A43" s="19" t="str">
        <x:f>'Private Intake'!A43</x:f>
        <x:v>T-039</x:v>
      </x:c>
      <x:c r="B43" s="19" t="str">
        <x:f>IF('Private Intake'!D43="","",'Private Intake'!D43)</x:f>
      </x:c>
      <x:c r="C43" s="19" t="str">
        <x:f>IF('Private Intake'!D43="","",'Private Intake'!E43)</x:f>
      </x:c>
      <x:c r="D43" s="19" t="str">
        <x:f>IF('Private Intake'!D43="","",'Private Intake'!F43)</x:f>
      </x:c>
      <x:c r="E43" s="19" t="str">
        <x:f>IF('Private Intake'!D43="","",'Private Intake'!H43)</x:f>
      </x:c>
      <x:c r="F43" s="19" t="str">
        <x:f>IF('Private Intake'!D43="","",'Private Intake'!I43)</x:f>
      </x:c>
      <x:c r="G43" s="19" t="str">
        <x:f>IF('Private Intake'!D43="","",'Private Intake'!J43)</x:f>
      </x:c>
      <x:c r="H43" s="20" t="str">
        <x:f>IF('Private Intake'!D43="","",'Private Intake'!K43)</x:f>
      </x:c>
      <x:c r="I43" s="19" t="str">
        <x:f>IF('Private Intake'!D43="","",'Private Intake'!M43)</x:f>
      </x:c>
      <x:c r="J43" s="21" t="str">
        <x:f>IF('Private Intake'!D43="","",'Private Intake'!P43)</x:f>
      </x:c>
      <x:c r="K43" s="19" t="str">
        <x:f>IF('Private Intake'!D43="","",'Private Intake'!Q43)</x:f>
      </x:c>
      <x:c r="L43" s="19" t="str">
        <x:f>IF('Private Intake'!D43="","",'Private Intake'!R43)</x:f>
      </x:c>
    </x:row>
    <x:row r="44" ht="22" customHeight="1">
      <x:c r="A44" s="19" t="str">
        <x:f>'Private Intake'!A44</x:f>
        <x:v>T-040</x:v>
      </x:c>
      <x:c r="B44" s="19" t="str">
        <x:f>IF('Private Intake'!D44="","",'Private Intake'!D44)</x:f>
      </x:c>
      <x:c r="C44" s="19" t="str">
        <x:f>IF('Private Intake'!D44="","",'Private Intake'!E44)</x:f>
      </x:c>
      <x:c r="D44" s="19" t="str">
        <x:f>IF('Private Intake'!D44="","",'Private Intake'!F44)</x:f>
      </x:c>
      <x:c r="E44" s="19" t="str">
        <x:f>IF('Private Intake'!D44="","",'Private Intake'!H44)</x:f>
      </x:c>
      <x:c r="F44" s="19" t="str">
        <x:f>IF('Private Intake'!D44="","",'Private Intake'!I44)</x:f>
      </x:c>
      <x:c r="G44" s="19" t="str">
        <x:f>IF('Private Intake'!D44="","",'Private Intake'!J44)</x:f>
      </x:c>
      <x:c r="H44" s="20" t="str">
        <x:f>IF('Private Intake'!D44="","",'Private Intake'!K44)</x:f>
      </x:c>
      <x:c r="I44" s="19" t="str">
        <x:f>IF('Private Intake'!D44="","",'Private Intake'!M44)</x:f>
      </x:c>
      <x:c r="J44" s="21" t="str">
        <x:f>IF('Private Intake'!D44="","",'Private Intake'!P44)</x:f>
      </x:c>
      <x:c r="K44" s="19" t="str">
        <x:f>IF('Private Intake'!D44="","",'Private Intake'!Q44)</x:f>
      </x:c>
      <x:c r="L44" s="19" t="str">
        <x:f>IF('Private Intake'!D44="","",'Private Intake'!R44)</x:f>
      </x:c>
    </x:row>
    <x:row r="45" ht="22" customHeight="1">
      <x:c r="A45" s="19" t="str">
        <x:f>'Private Intake'!A45</x:f>
        <x:v>T-041</x:v>
      </x:c>
      <x:c r="B45" s="19" t="str">
        <x:f>IF('Private Intake'!D45="","",'Private Intake'!D45)</x:f>
      </x:c>
      <x:c r="C45" s="19" t="str">
        <x:f>IF('Private Intake'!D45="","",'Private Intake'!E45)</x:f>
      </x:c>
      <x:c r="D45" s="19" t="str">
        <x:f>IF('Private Intake'!D45="","",'Private Intake'!F45)</x:f>
      </x:c>
      <x:c r="E45" s="19" t="str">
        <x:f>IF('Private Intake'!D45="","",'Private Intake'!H45)</x:f>
      </x:c>
      <x:c r="F45" s="19" t="str">
        <x:f>IF('Private Intake'!D45="","",'Private Intake'!I45)</x:f>
      </x:c>
      <x:c r="G45" s="19" t="str">
        <x:f>IF('Private Intake'!D45="","",'Private Intake'!J45)</x:f>
      </x:c>
      <x:c r="H45" s="20" t="str">
        <x:f>IF('Private Intake'!D45="","",'Private Intake'!K45)</x:f>
      </x:c>
      <x:c r="I45" s="19" t="str">
        <x:f>IF('Private Intake'!D45="","",'Private Intake'!M45)</x:f>
      </x:c>
      <x:c r="J45" s="21" t="str">
        <x:f>IF('Private Intake'!D45="","",'Private Intake'!P45)</x:f>
      </x:c>
      <x:c r="K45" s="19" t="str">
        <x:f>IF('Private Intake'!D45="","",'Private Intake'!Q45)</x:f>
      </x:c>
      <x:c r="L45" s="19" t="str">
        <x:f>IF('Private Intake'!D45="","",'Private Intake'!R45)</x:f>
      </x:c>
    </x:row>
    <x:row r="46" ht="22" customHeight="1">
      <x:c r="A46" s="19" t="str">
        <x:f>'Private Intake'!A46</x:f>
        <x:v>T-042</x:v>
      </x:c>
      <x:c r="B46" s="19" t="str">
        <x:f>IF('Private Intake'!D46="","",'Private Intake'!D46)</x:f>
      </x:c>
      <x:c r="C46" s="19" t="str">
        <x:f>IF('Private Intake'!D46="","",'Private Intake'!E46)</x:f>
      </x:c>
      <x:c r="D46" s="19" t="str">
        <x:f>IF('Private Intake'!D46="","",'Private Intake'!F46)</x:f>
      </x:c>
      <x:c r="E46" s="19" t="str">
        <x:f>IF('Private Intake'!D46="","",'Private Intake'!H46)</x:f>
      </x:c>
      <x:c r="F46" s="19" t="str">
        <x:f>IF('Private Intake'!D46="","",'Private Intake'!I46)</x:f>
      </x:c>
      <x:c r="G46" s="19" t="str">
        <x:f>IF('Private Intake'!D46="","",'Private Intake'!J46)</x:f>
      </x:c>
      <x:c r="H46" s="20" t="str">
        <x:f>IF('Private Intake'!D46="","",'Private Intake'!K46)</x:f>
      </x:c>
      <x:c r="I46" s="19" t="str">
        <x:f>IF('Private Intake'!D46="","",'Private Intake'!M46)</x:f>
      </x:c>
      <x:c r="J46" s="21" t="str">
        <x:f>IF('Private Intake'!D46="","",'Private Intake'!P46)</x:f>
      </x:c>
      <x:c r="K46" s="19" t="str">
        <x:f>IF('Private Intake'!D46="","",'Private Intake'!Q46)</x:f>
      </x:c>
      <x:c r="L46" s="19" t="str">
        <x:f>IF('Private Intake'!D46="","",'Private Intake'!R46)</x:f>
      </x:c>
    </x:row>
    <x:row r="47" ht="22" customHeight="1">
      <x:c r="A47" s="19" t="str">
        <x:f>'Private Intake'!A47</x:f>
        <x:v>T-043</x:v>
      </x:c>
      <x:c r="B47" s="19" t="str">
        <x:f>IF('Private Intake'!D47="","",'Private Intake'!D47)</x:f>
      </x:c>
      <x:c r="C47" s="19" t="str">
        <x:f>IF('Private Intake'!D47="","",'Private Intake'!E47)</x:f>
      </x:c>
      <x:c r="D47" s="19" t="str">
        <x:f>IF('Private Intake'!D47="","",'Private Intake'!F47)</x:f>
      </x:c>
      <x:c r="E47" s="19" t="str">
        <x:f>IF('Private Intake'!D47="","",'Private Intake'!H47)</x:f>
      </x:c>
      <x:c r="F47" s="19" t="str">
        <x:f>IF('Private Intake'!D47="","",'Private Intake'!I47)</x:f>
      </x:c>
      <x:c r="G47" s="19" t="str">
        <x:f>IF('Private Intake'!D47="","",'Private Intake'!J47)</x:f>
      </x:c>
      <x:c r="H47" s="20" t="str">
        <x:f>IF('Private Intake'!D47="","",'Private Intake'!K47)</x:f>
      </x:c>
      <x:c r="I47" s="19" t="str">
        <x:f>IF('Private Intake'!D47="","",'Private Intake'!M47)</x:f>
      </x:c>
      <x:c r="J47" s="21" t="str">
        <x:f>IF('Private Intake'!D47="","",'Private Intake'!P47)</x:f>
      </x:c>
      <x:c r="K47" s="19" t="str">
        <x:f>IF('Private Intake'!D47="","",'Private Intake'!Q47)</x:f>
      </x:c>
      <x:c r="L47" s="19" t="str">
        <x:f>IF('Private Intake'!D47="","",'Private Intake'!R47)</x:f>
      </x:c>
    </x:row>
    <x:row r="48" ht="22" customHeight="1">
      <x:c r="A48" s="19" t="str">
        <x:f>'Private Intake'!A48</x:f>
        <x:v>T-044</x:v>
      </x:c>
      <x:c r="B48" s="19" t="str">
        <x:f>IF('Private Intake'!D48="","",'Private Intake'!D48)</x:f>
      </x:c>
      <x:c r="C48" s="19" t="str">
        <x:f>IF('Private Intake'!D48="","",'Private Intake'!E48)</x:f>
      </x:c>
      <x:c r="D48" s="19" t="str">
        <x:f>IF('Private Intake'!D48="","",'Private Intake'!F48)</x:f>
      </x:c>
      <x:c r="E48" s="19" t="str">
        <x:f>IF('Private Intake'!D48="","",'Private Intake'!H48)</x:f>
      </x:c>
      <x:c r="F48" s="19" t="str">
        <x:f>IF('Private Intake'!D48="","",'Private Intake'!I48)</x:f>
      </x:c>
      <x:c r="G48" s="19" t="str">
        <x:f>IF('Private Intake'!D48="","",'Private Intake'!J48)</x:f>
      </x:c>
      <x:c r="H48" s="20" t="str">
        <x:f>IF('Private Intake'!D48="","",'Private Intake'!K48)</x:f>
      </x:c>
      <x:c r="I48" s="19" t="str">
        <x:f>IF('Private Intake'!D48="","",'Private Intake'!M48)</x:f>
      </x:c>
      <x:c r="J48" s="21" t="str">
        <x:f>IF('Private Intake'!D48="","",'Private Intake'!P48)</x:f>
      </x:c>
      <x:c r="K48" s="19" t="str">
        <x:f>IF('Private Intake'!D48="","",'Private Intake'!Q48)</x:f>
      </x:c>
      <x:c r="L48" s="19" t="str">
        <x:f>IF('Private Intake'!D48="","",'Private Intake'!R48)</x:f>
      </x:c>
    </x:row>
    <x:row r="49" ht="22" customHeight="1">
      <x:c r="A49" s="19" t="str">
        <x:f>'Private Intake'!A49</x:f>
        <x:v>T-045</x:v>
      </x:c>
      <x:c r="B49" s="19" t="str">
        <x:f>IF('Private Intake'!D49="","",'Private Intake'!D49)</x:f>
      </x:c>
      <x:c r="C49" s="19" t="str">
        <x:f>IF('Private Intake'!D49="","",'Private Intake'!E49)</x:f>
      </x:c>
      <x:c r="D49" s="19" t="str">
        <x:f>IF('Private Intake'!D49="","",'Private Intake'!F49)</x:f>
      </x:c>
      <x:c r="E49" s="19" t="str">
        <x:f>IF('Private Intake'!D49="","",'Private Intake'!H49)</x:f>
      </x:c>
      <x:c r="F49" s="19" t="str">
        <x:f>IF('Private Intake'!D49="","",'Private Intake'!I49)</x:f>
      </x:c>
      <x:c r="G49" s="19" t="str">
        <x:f>IF('Private Intake'!D49="","",'Private Intake'!J49)</x:f>
      </x:c>
      <x:c r="H49" s="20" t="str">
        <x:f>IF('Private Intake'!D49="","",'Private Intake'!K49)</x:f>
      </x:c>
      <x:c r="I49" s="19" t="str">
        <x:f>IF('Private Intake'!D49="","",'Private Intake'!M49)</x:f>
      </x:c>
      <x:c r="J49" s="21" t="str">
        <x:f>IF('Private Intake'!D49="","",'Private Intake'!P49)</x:f>
      </x:c>
      <x:c r="K49" s="19" t="str">
        <x:f>IF('Private Intake'!D49="","",'Private Intake'!Q49)</x:f>
      </x:c>
      <x:c r="L49" s="19" t="str">
        <x:f>IF('Private Intake'!D49="","",'Private Intake'!R49)</x:f>
      </x:c>
    </x:row>
    <x:row r="50" ht="22" customHeight="1">
      <x:c r="A50" s="19" t="str">
        <x:f>'Private Intake'!A50</x:f>
        <x:v>T-046</x:v>
      </x:c>
      <x:c r="B50" s="19" t="str">
        <x:f>IF('Private Intake'!D50="","",'Private Intake'!D50)</x:f>
      </x:c>
      <x:c r="C50" s="19" t="str">
        <x:f>IF('Private Intake'!D50="","",'Private Intake'!E50)</x:f>
      </x:c>
      <x:c r="D50" s="19" t="str">
        <x:f>IF('Private Intake'!D50="","",'Private Intake'!F50)</x:f>
      </x:c>
      <x:c r="E50" s="19" t="str">
        <x:f>IF('Private Intake'!D50="","",'Private Intake'!H50)</x:f>
      </x:c>
      <x:c r="F50" s="19" t="str">
        <x:f>IF('Private Intake'!D50="","",'Private Intake'!I50)</x:f>
      </x:c>
      <x:c r="G50" s="19" t="str">
        <x:f>IF('Private Intake'!D50="","",'Private Intake'!J50)</x:f>
      </x:c>
      <x:c r="H50" s="20" t="str">
        <x:f>IF('Private Intake'!D50="","",'Private Intake'!K50)</x:f>
      </x:c>
      <x:c r="I50" s="19" t="str">
        <x:f>IF('Private Intake'!D50="","",'Private Intake'!M50)</x:f>
      </x:c>
      <x:c r="J50" s="21" t="str">
        <x:f>IF('Private Intake'!D50="","",'Private Intake'!P50)</x:f>
      </x:c>
      <x:c r="K50" s="19" t="str">
        <x:f>IF('Private Intake'!D50="","",'Private Intake'!Q50)</x:f>
      </x:c>
      <x:c r="L50" s="19" t="str">
        <x:f>IF('Private Intake'!D50="","",'Private Intake'!R50)</x:f>
      </x:c>
    </x:row>
    <x:row r="51" ht="22" customHeight="1">
      <x:c r="A51" s="19" t="str">
        <x:f>'Private Intake'!A51</x:f>
        <x:v>T-047</x:v>
      </x:c>
      <x:c r="B51" s="19" t="str">
        <x:f>IF('Private Intake'!D51="","",'Private Intake'!D51)</x:f>
      </x:c>
      <x:c r="C51" s="19" t="str">
        <x:f>IF('Private Intake'!D51="","",'Private Intake'!E51)</x:f>
      </x:c>
      <x:c r="D51" s="19" t="str">
        <x:f>IF('Private Intake'!D51="","",'Private Intake'!F51)</x:f>
      </x:c>
      <x:c r="E51" s="19" t="str">
        <x:f>IF('Private Intake'!D51="","",'Private Intake'!H51)</x:f>
      </x:c>
      <x:c r="F51" s="19" t="str">
        <x:f>IF('Private Intake'!D51="","",'Private Intake'!I51)</x:f>
      </x:c>
      <x:c r="G51" s="19" t="str">
        <x:f>IF('Private Intake'!D51="","",'Private Intake'!J51)</x:f>
      </x:c>
      <x:c r="H51" s="20" t="str">
        <x:f>IF('Private Intake'!D51="","",'Private Intake'!K51)</x:f>
      </x:c>
      <x:c r="I51" s="19" t="str">
        <x:f>IF('Private Intake'!D51="","",'Private Intake'!M51)</x:f>
      </x:c>
      <x:c r="J51" s="21" t="str">
        <x:f>IF('Private Intake'!D51="","",'Private Intake'!P51)</x:f>
      </x:c>
      <x:c r="K51" s="19" t="str">
        <x:f>IF('Private Intake'!D51="","",'Private Intake'!Q51)</x:f>
      </x:c>
      <x:c r="L51" s="19" t="str">
        <x:f>IF('Private Intake'!D51="","",'Private Intake'!R51)</x:f>
      </x:c>
    </x:row>
    <x:row r="52" ht="22" customHeight="1">
      <x:c r="A52" s="19" t="str">
        <x:f>'Private Intake'!A52</x:f>
        <x:v>T-048</x:v>
      </x:c>
      <x:c r="B52" s="19" t="str">
        <x:f>IF('Private Intake'!D52="","",'Private Intake'!D52)</x:f>
      </x:c>
      <x:c r="C52" s="19" t="str">
        <x:f>IF('Private Intake'!D52="","",'Private Intake'!E52)</x:f>
      </x:c>
      <x:c r="D52" s="19" t="str">
        <x:f>IF('Private Intake'!D52="","",'Private Intake'!F52)</x:f>
      </x:c>
      <x:c r="E52" s="19" t="str">
        <x:f>IF('Private Intake'!D52="","",'Private Intake'!H52)</x:f>
      </x:c>
      <x:c r="F52" s="19" t="str">
        <x:f>IF('Private Intake'!D52="","",'Private Intake'!I52)</x:f>
      </x:c>
      <x:c r="G52" s="19" t="str">
        <x:f>IF('Private Intake'!D52="","",'Private Intake'!J52)</x:f>
      </x:c>
      <x:c r="H52" s="20" t="str">
        <x:f>IF('Private Intake'!D52="","",'Private Intake'!K52)</x:f>
      </x:c>
      <x:c r="I52" s="19" t="str">
        <x:f>IF('Private Intake'!D52="","",'Private Intake'!M52)</x:f>
      </x:c>
      <x:c r="J52" s="21" t="str">
        <x:f>IF('Private Intake'!D52="","",'Private Intake'!P52)</x:f>
      </x:c>
      <x:c r="K52" s="19" t="str">
        <x:f>IF('Private Intake'!D52="","",'Private Intake'!Q52)</x:f>
      </x:c>
      <x:c r="L52" s="19" t="str">
        <x:f>IF('Private Intake'!D52="","",'Private Intake'!R52)</x:f>
      </x:c>
    </x:row>
    <x:row r="53" ht="22" customHeight="1">
      <x:c r="A53" s="19" t="str">
        <x:f>'Private Intake'!A53</x:f>
        <x:v>T-049</x:v>
      </x:c>
      <x:c r="B53" s="19" t="str">
        <x:f>IF('Private Intake'!D53="","",'Private Intake'!D53)</x:f>
      </x:c>
      <x:c r="C53" s="19" t="str">
        <x:f>IF('Private Intake'!D53="","",'Private Intake'!E53)</x:f>
      </x:c>
      <x:c r="D53" s="19" t="str">
        <x:f>IF('Private Intake'!D53="","",'Private Intake'!F53)</x:f>
      </x:c>
      <x:c r="E53" s="19" t="str">
        <x:f>IF('Private Intake'!D53="","",'Private Intake'!H53)</x:f>
      </x:c>
      <x:c r="F53" s="19" t="str">
        <x:f>IF('Private Intake'!D53="","",'Private Intake'!I53)</x:f>
      </x:c>
      <x:c r="G53" s="19" t="str">
        <x:f>IF('Private Intake'!D53="","",'Private Intake'!J53)</x:f>
      </x:c>
      <x:c r="H53" s="20" t="str">
        <x:f>IF('Private Intake'!D53="","",'Private Intake'!K53)</x:f>
      </x:c>
      <x:c r="I53" s="19" t="str">
        <x:f>IF('Private Intake'!D53="","",'Private Intake'!M53)</x:f>
      </x:c>
      <x:c r="J53" s="21" t="str">
        <x:f>IF('Private Intake'!D53="","",'Private Intake'!P53)</x:f>
      </x:c>
      <x:c r="K53" s="19" t="str">
        <x:f>IF('Private Intake'!D53="","",'Private Intake'!Q53)</x:f>
      </x:c>
      <x:c r="L53" s="19" t="str">
        <x:f>IF('Private Intake'!D53="","",'Private Intake'!R53)</x:f>
      </x:c>
    </x:row>
    <x:row r="54" ht="22" customHeight="1">
      <x:c r="A54" s="22" t="str">
        <x:f>'Private Intake'!A54</x:f>
        <x:v>T-050</x:v>
      </x:c>
      <x:c r="B54" s="22" t="str">
        <x:f>IF('Private Intake'!D54="","",'Private Intake'!D54)</x:f>
      </x:c>
      <x:c r="C54" s="22" t="str">
        <x:f>IF('Private Intake'!D54="","",'Private Intake'!E54)</x:f>
      </x:c>
      <x:c r="D54" s="22" t="str">
        <x:f>IF('Private Intake'!D54="","",'Private Intake'!F54)</x:f>
      </x:c>
      <x:c r="E54" s="22" t="str">
        <x:f>IF('Private Intake'!D54="","",'Private Intake'!H54)</x:f>
      </x:c>
      <x:c r="F54" s="22" t="str">
        <x:f>IF('Private Intake'!D54="","",'Private Intake'!I54)</x:f>
      </x:c>
      <x:c r="G54" s="22" t="str">
        <x:f>IF('Private Intake'!D54="","",'Private Intake'!J54)</x:f>
      </x:c>
      <x:c r="H54" s="23" t="str">
        <x:f>IF('Private Intake'!D54="","",'Private Intake'!K54)</x:f>
      </x:c>
      <x:c r="I54" s="22" t="str">
        <x:f>IF('Private Intake'!D54="","",'Private Intake'!M54)</x:f>
      </x:c>
      <x:c r="J54" s="24" t="str">
        <x:f>IF('Private Intake'!D54="","",'Private Intake'!P54)</x:f>
      </x:c>
      <x:c r="K54" s="22" t="str">
        <x:f>IF('Private Intake'!D54="","",'Private Intake'!Q54)</x:f>
      </x:c>
      <x:c r="L54" s="22" t="str">
        <x:f>IF('Private Intake'!D54="","",'Private Intake'!R54)</x:f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36" customHeight="1">
      <x:c r="A1" s="32" t="str">
        <x:v>PollChain Level 5 — Campaign Dashboard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</x:row>
    <x:row r="3">
      <x:c r="A3" s="33" t="str">
        <x:v>Unique wallets</x:v>
      </x:c>
      <x:c r="B3" s="33"/>
      <x:c r="C3" s="33"/>
      <x:c r="D3" s="33" t="str">
        <x:v>Evidence ready</x:v>
      </x:c>
      <x:c r="E3" s="33"/>
      <x:c r="F3" s="33"/>
      <x:c r="G3" s="33" t="str">
        <x:v>Average rating</x:v>
      </x:c>
      <x:c r="H3" s="33"/>
      <x:c r="I3" s="33"/>
      <x:c r="J3" s="33" t="str">
        <x:v>Interval compliance</x:v>
      </x:c>
      <x:c r="K3" s="33"/>
      <x:c r="L3" s="33"/>
    </x:row>
    <x:row r="4" ht="34" customHeight="1">
      <x:c r="A4" s="52" t="n">
        <x:f>COUNTIF('Private Intake'!M5:M54,"YES")</x:f>
        <x:v>0</x:v>
      </x:c>
      <x:c r="B4" s="53"/>
      <x:c r="C4" s="53"/>
      <x:c r="D4" s="53" t="n">
        <x:f>COUNTIF('Private Intake'!R5:R54,"READY")</x:f>
        <x:v>0</x:v>
      </x:c>
      <x:c r="E4" s="53"/>
      <x:c r="F4" s="53"/>
      <x:c r="G4" s="67" t="n">
        <x:f>IFERROR(AVERAGE('Private Intake'!E5:E54),0)</x:f>
        <x:v>0</x:v>
      </x:c>
      <x:c r="H4" s="67"/>
      <x:c r="I4" s="67"/>
      <x:c r="J4" s="61" t="n">
        <x:f>IFERROR(COUNTIF('Private Intake'!Q6:Q54,"YES")/COUNT('Private Intake'!P6:P54),0)</x:f>
        <x:v>0</x:v>
      </x:c>
      <x:c r="K4" s="61"/>
      <x:c r="L4" s="62"/>
    </x:row>
    <x:row r="5" ht="34" customHeight="1">
      <x:c r="A5" s="55"/>
      <x:c r="B5" s="56"/>
      <x:c r="C5" s="56"/>
      <x:c r="D5" s="56"/>
      <x:c r="E5" s="56"/>
      <x:c r="F5" s="56"/>
      <x:c r="G5" s="68"/>
      <x:c r="H5" s="68"/>
      <x:c r="I5" s="68"/>
      <x:c r="J5" s="63"/>
      <x:c r="K5" s="63"/>
      <x:c r="L5" s="64"/>
    </x:row>
    <x:row r="6" ht="34" customHeight="1">
      <x:c r="A6" s="58"/>
      <x:c r="B6" s="59"/>
      <x:c r="C6" s="59"/>
      <x:c r="D6" s="59"/>
      <x:c r="E6" s="59"/>
      <x:c r="F6" s="59"/>
      <x:c r="G6" s="69"/>
      <x:c r="H6" s="69"/>
      <x:c r="I6" s="69"/>
      <x:c r="J6" s="65"/>
      <x:c r="K6" s="65"/>
      <x:c r="L6" s="66"/>
    </x:row>
    <x:row r="8">
      <x:c r="A8" s="72" t="str">
        <x:f>IF(A4&gt;=50,"TARGET MET — 50 UNIQUE WALLETS","PENDING — "&amp;(50-A4)&amp;" UNIQUE WALLETS REMAIN")</x:f>
        <x:v>PENDING — 50 UNIQUE WALLETS REMAIN</x:v>
      </x:c>
      <x:c r="B8" s="72"/>
      <x:c r="C8" s="72"/>
      <x:c r="D8" s="72"/>
      <x:c r="E8" s="72"/>
      <x:c r="F8" s="72"/>
      <x:c r="G8" s="72"/>
      <x:c r="H8" s="72"/>
      <x:c r="I8" s="72"/>
      <x:c r="J8" s="72"/>
      <x:c r="K8" s="72"/>
      <x:c r="L8" s="72"/>
    </x:row>
    <x:row r="10">
      <x:c r="A10" s="73" t="str">
        <x:v>Feedback theme</x:v>
      </x:c>
      <x:c r="B10" s="73" t="str">
        <x:v>Count</x:v>
      </x:c>
      <x:c r="D10" s="73" t="str">
        <x:v>Rating</x:v>
      </x:c>
      <x:c r="E10" s="73" t="str">
        <x:v>Count</x:v>
      </x:c>
    </x:row>
    <x:row r="11">
      <x:c r="A11" s="19" t="str">
        <x:v>Wallet</x:v>
      </x:c>
      <x:c r="B11" s="19" t="n">
        <x:f>COUNTIF('Private Intake'!F5:F54,A11)</x:f>
        <x:v>0</x:v>
      </x:c>
      <x:c r="D11" s="19" t="n">
        <x:v>1</x:v>
      </x:c>
      <x:c r="E11" s="19" t="n">
        <x:f>COUNTIF('Private Intake'!E5:E54,D11)</x:f>
        <x:v>0</x:v>
      </x:c>
    </x:row>
    <x:row r="12">
      <x:c r="A12" s="19" t="str">
        <x:v>Funding</x:v>
      </x:c>
      <x:c r="B12" s="19" t="n">
        <x:f>COUNTIF('Private Intake'!F6:F55,A12)</x:f>
        <x:v>0</x:v>
      </x:c>
      <x:c r="D12" s="19" t="n">
        <x:v>2</x:v>
      </x:c>
      <x:c r="E12" s="19" t="n">
        <x:f>COUNTIF('Private Intake'!E6:E55,D12)</x:f>
        <x:v>0</x:v>
      </x:c>
    </x:row>
    <x:row r="13">
      <x:c r="A13" s="19" t="str">
        <x:v>Navigation</x:v>
      </x:c>
      <x:c r="B13" s="19" t="n">
        <x:f>COUNTIF('Private Intake'!F7:F56,A13)</x:f>
        <x:v>0</x:v>
      </x:c>
      <x:c r="D13" s="19" t="n">
        <x:v>3</x:v>
      </x:c>
      <x:c r="E13" s="19" t="n">
        <x:f>COUNTIF('Private Intake'!E7:E56,D13)</x:f>
        <x:v>0</x:v>
      </x:c>
    </x:row>
    <x:row r="14">
      <x:c r="A14" s="19" t="str">
        <x:v>Voting</x:v>
      </x:c>
      <x:c r="B14" s="19" t="n">
        <x:f>COUNTIF('Private Intake'!F8:F57,A14)</x:f>
        <x:v>0</x:v>
      </x:c>
      <x:c r="D14" s="19" t="n">
        <x:v>4</x:v>
      </x:c>
      <x:c r="E14" s="19" t="n">
        <x:f>COUNTIF('Private Intake'!E8:E57,D14)</x:f>
        <x:v>0</x:v>
      </x:c>
    </x:row>
    <x:row r="15">
      <x:c r="A15" s="19" t="str">
        <x:v>Proof</x:v>
      </x:c>
      <x:c r="B15" s="19" t="n">
        <x:f>COUNTIF('Private Intake'!F9:F58,A15)</x:f>
        <x:v>0</x:v>
      </x:c>
      <x:c r="D15" s="22" t="n">
        <x:v>5</x:v>
      </x:c>
      <x:c r="E15" s="22" t="n">
        <x:f>COUNTIF('Private Intake'!E9:E58,D15)</x:f>
        <x:v>0</x:v>
      </x:c>
    </x:row>
    <x:row r="16">
      <x:c r="A16" s="19" t="str">
        <x:v>Performance</x:v>
      </x:c>
      <x:c r="B16" s="19" t="n">
        <x:f>COUNTIF('Private Intake'!F10:F59,A16)</x:f>
        <x:v>0</x:v>
      </x:c>
    </x:row>
    <x:row r="17">
      <x:c r="A17" s="22" t="str">
        <x:v>Other</x:v>
      </x:c>
      <x:c r="B17" s="22" t="n">
        <x:f>COUNTIF('Private Intake'!F11:F60,A17)</x:f>
        <x:v>0</x:v>
      </x:c>
    </x:row>
  </x:sheetData>
  <x:mergeCells>
    <x:mergeCell ref="A1:L1"/>
    <x:mergeCell ref="A3:C3"/>
    <x:mergeCell ref="D3:F3"/>
    <x:mergeCell ref="G3:I3"/>
    <x:mergeCell ref="J3:L3"/>
    <x:mergeCell ref="A4:C6"/>
    <x:mergeCell ref="D4:F6"/>
    <x:mergeCell ref="G4:I6"/>
    <x:mergeCell ref="J4:L6"/>
    <x:mergeCell ref="A8:L8"/>
  </x:mergeCells>
  <x:pageMargins left="0.7" right="0.7" top="0.75" bottom="0.75" header="0.3" footer="0.3"/>
  <x:drawing xmlns:r="http://schemas.openxmlformats.org/officeDocument/2006/relationships" r:id="Rc6b99aa037f649b0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8" customHeight="1">
      <x:c r="A1" s="32" t="str">
        <x:v>How to Run the 50-Wallet Evidence Campaign</x:v>
      </x:c>
      <x:c r="B1" s="32"/>
      <x:c r="C1" s="32"/>
      <x:c r="D1" s="32"/>
      <x:c r="E1" s="32"/>
      <x:c r="F1" s="32"/>
      <x:c r="G1" s="32"/>
      <x:c r="H1" s="32"/>
    </x:row>
    <x:row r="3">
      <x:c r="A3" s="9" t="str">
        <x:v>Step</x:v>
      </x:c>
      <x:c r="B3" s="9" t="str">
        <x:v>Action</x:v>
      </x:c>
      <x:c r="C3" s="9" t="str">
        <x:v>Rule</x:v>
      </x:c>
      <x:c r="D3" s="9"/>
      <x:c r="E3" s="9"/>
      <x:c r="F3" s="9"/>
      <x:c r="G3" s="9"/>
      <x:c r="H3" s="9"/>
    </x:row>
    <x:row r="4" ht="28" customHeight="1">
      <x:c r="A4" s="86" t="str">
        <x:v>1</x:v>
      </x:c>
      <x:c r="B4" s="77" t="str">
        <x:v>Recruit real testers</x:v>
      </x:c>
      <x:c r="C4" s="77"/>
      <x:c r="D4" s="77" t="str">
        <x:v>Use 10 cohorts of five. One human-controlled Stellar testnet wallet per row.</x:v>
      </x:c>
      <x:c r="E4" s="77"/>
      <x:c r="F4" s="77"/>
      <x:c r="G4" s="77"/>
      <x:c r="H4" s="77"/>
    </x:row>
    <x:row r="5" ht="28" customHeight="1">
      <x:c r="A5" s="87"/>
      <x:c r="B5" s="78"/>
      <x:c r="C5" s="78"/>
      <x:c r="D5" s="78"/>
      <x:c r="E5" s="78"/>
      <x:c r="F5" s="78"/>
      <x:c r="G5" s="78"/>
      <x:c r="H5" s="78"/>
    </x:row>
    <x:row r="6" ht="28" customHeight="1">
      <x:c r="A6" s="87"/>
      <x:c r="B6" s="78"/>
      <x:c r="C6" s="78"/>
      <x:c r="D6" s="78"/>
      <x:c r="E6" s="78"/>
      <x:c r="F6" s="78"/>
      <x:c r="G6" s="78"/>
      <x:c r="H6" s="78"/>
    </x:row>
    <x:row r="7" ht="28" customHeight="1">
      <x:c r="A7" s="87" t="str">
        <x:v>2</x:v>
      </x:c>
      <x:c r="B7" s="78" t="str">
        <x:v>Keep the interval</x:v>
      </x:c>
      <x:c r="C7" s="78"/>
      <x:c r="D7" s="78" t="str">
        <x:v>Start each interaction 2–3 minutes after the previous timestamp. The workbook calculates the interval.</x:v>
      </x:c>
      <x:c r="E7" s="78"/>
      <x:c r="F7" s="78"/>
      <x:c r="G7" s="78"/>
      <x:c r="H7" s="78"/>
    </x:row>
    <x:row r="8" ht="28" customHeight="1">
      <x:c r="A8" s="87"/>
      <x:c r="B8" s="78"/>
      <x:c r="C8" s="78"/>
      <x:c r="D8" s="78"/>
      <x:c r="E8" s="78"/>
      <x:c r="F8" s="78"/>
      <x:c r="G8" s="78"/>
      <x:c r="H8" s="78"/>
    </x:row>
    <x:row r="9" ht="28" customHeight="1">
      <x:c r="A9" s="87"/>
      <x:c r="B9" s="78"/>
      <x:c r="C9" s="78"/>
      <x:c r="D9" s="78"/>
      <x:c r="E9" s="78"/>
      <x:c r="F9" s="78"/>
      <x:c r="G9" s="78"/>
      <x:c r="H9" s="78"/>
    </x:row>
    <x:row r="10" ht="28" customHeight="1">
      <x:c r="A10" s="87" t="str">
        <x:v>3</x:v>
      </x:c>
      <x:c r="B10" s="78" t="str">
        <x:v>Capture proof</x:v>
      </x:c>
      <x:c r="C10" s="78"/>
      <x:c r="D10" s="78" t="str">
        <x:v>Record transaction hash, StellarExpert URL, wallet and timestamp. Never record secret keys or seed phrases.</x:v>
      </x:c>
      <x:c r="E10" s="78"/>
      <x:c r="F10" s="78"/>
      <x:c r="G10" s="78"/>
      <x:c r="H10" s="78"/>
    </x:row>
    <x:row r="11" ht="28" customHeight="1">
      <x:c r="A11" s="87"/>
      <x:c r="B11" s="78"/>
      <x:c r="C11" s="78"/>
      <x:c r="D11" s="78"/>
      <x:c r="E11" s="78"/>
      <x:c r="F11" s="78"/>
      <x:c r="G11" s="78"/>
      <x:c r="H11" s="78"/>
    </x:row>
    <x:row r="12" ht="28" customHeight="1">
      <x:c r="A12" s="87"/>
      <x:c r="B12" s="78"/>
      <x:c r="C12" s="78"/>
      <x:c r="D12" s="78"/>
      <x:c r="E12" s="78"/>
      <x:c r="F12" s="78"/>
      <x:c r="G12" s="78"/>
      <x:c r="H12" s="78"/>
    </x:row>
    <x:row r="13" ht="28" customHeight="1">
      <x:c r="A13" s="87" t="str">
        <x:v>4</x:v>
      </x:c>
      <x:c r="B13" s="78" t="str">
        <x:v>Collect consent</x:v>
      </x:c>
      <x:c r="C13" s="78"/>
      <x:c r="D13" s="78" t="str">
        <x:v>Names and emails remain private. Publish wallet evidence only when the tester explicitly consents.</x:v>
      </x:c>
      <x:c r="E13" s="78"/>
      <x:c r="F13" s="78"/>
      <x:c r="G13" s="78"/>
      <x:c r="H13" s="78"/>
    </x:row>
    <x:row r="14" ht="28" customHeight="1">
      <x:c r="A14" s="87"/>
      <x:c r="B14" s="78"/>
      <x:c r="C14" s="78"/>
      <x:c r="D14" s="78"/>
      <x:c r="E14" s="78"/>
      <x:c r="F14" s="78"/>
      <x:c r="G14" s="78"/>
      <x:c r="H14" s="78"/>
    </x:row>
    <x:row r="15" ht="28" customHeight="1">
      <x:c r="A15" s="87"/>
      <x:c r="B15" s="78"/>
      <x:c r="C15" s="78"/>
      <x:c r="D15" s="78"/>
      <x:c r="E15" s="78"/>
      <x:c r="F15" s="78"/>
      <x:c r="G15" s="78"/>
      <x:c r="H15" s="78"/>
    </x:row>
    <x:row r="16" ht="28" customHeight="1">
      <x:c r="A16" s="87" t="str">
        <x:v>5</x:v>
      </x:c>
      <x:c r="B16" s="78" t="str">
        <x:v>Verify before claiming</x:v>
      </x:c>
      <x:c r="C16" s="78"/>
      <x:c r="D16" s="78" t="str">
        <x:v>The dashboard must show 50 unique wallets and 50 evidence-ready rows. Run the repository validator too.</x:v>
      </x:c>
      <x:c r="E16" s="78"/>
      <x:c r="F16" s="78"/>
      <x:c r="G16" s="78"/>
      <x:c r="H16" s="78"/>
    </x:row>
    <x:row r="17" ht="28" customHeight="1">
      <x:c r="A17" s="87"/>
      <x:c r="B17" s="78"/>
      <x:c r="C17" s="78"/>
      <x:c r="D17" s="78"/>
      <x:c r="E17" s="78"/>
      <x:c r="F17" s="78"/>
      <x:c r="G17" s="78"/>
      <x:c r="H17" s="78"/>
    </x:row>
    <x:row r="18" ht="28" customHeight="1">
      <x:c r="A18" s="88"/>
      <x:c r="B18" s="79"/>
      <x:c r="C18" s="79"/>
      <x:c r="D18" s="79"/>
      <x:c r="E18" s="79"/>
      <x:c r="F18" s="79"/>
      <x:c r="G18" s="79"/>
      <x:c r="H18" s="79"/>
    </x:row>
  </x:sheetData>
  <x:mergeCells>
    <x:mergeCell ref="A1:H1"/>
    <x:mergeCell ref="A4:A5"/>
    <x:mergeCell ref="B4:C5"/>
    <x:mergeCell ref="D4:H5"/>
    <x:mergeCell ref="A7:A8"/>
    <x:mergeCell ref="B7:C8"/>
    <x:mergeCell ref="D7:H8"/>
    <x:mergeCell ref="A10:A11"/>
    <x:mergeCell ref="B10:C11"/>
    <x:mergeCell ref="D10:H11"/>
    <x:mergeCell ref="A13:A14"/>
    <x:mergeCell ref="B13:C14"/>
    <x:mergeCell ref="D13:H14"/>
    <x:mergeCell ref="A16:A17"/>
    <x:mergeCell ref="B16:C17"/>
    <x:mergeCell ref="D16:H17"/>
  </x:mergeCells>
  <x:pageMargins left="0.7" right="0.7" top="0.75" bottom="0.75" header="0.3" footer="0.3"/>
</x:worksheet>
</file>